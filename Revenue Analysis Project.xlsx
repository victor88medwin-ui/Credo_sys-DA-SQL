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tables/table4.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5.xml" ContentType="application/vnd.openxmlformats-officedocument.spreadsheetml.table+xml"/>
  <Override PartName="/xl/drawings/drawing3.xml" ContentType="application/vnd.openxmlformats-officedocument.drawing+xml"/>
  <Override PartName="/xl/tables/table6.xml" ContentType="application/vnd.openxmlformats-officedocument.spreadsheetml.table+xml"/>
  <Override PartName="/xl/slicers/slicer3.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mala\OneDrive\Desktop\Credo - DA\Syllabus\Excel Project\"/>
    </mc:Choice>
  </mc:AlternateContent>
  <xr:revisionPtr revIDLastSave="0" documentId="13_ncr:1_{B41DD36C-4F89-4481-A2B6-25D3C2AE28FF}" xr6:coauthVersionLast="47" xr6:coauthVersionMax="47" xr10:uidLastSave="{00000000-0000-0000-0000-000000000000}"/>
  <bookViews>
    <workbookView xWindow="-108" yWindow="-108" windowWidth="23256" windowHeight="12456" activeTab="6" xr2:uid="{94584068-F551-4372-84A8-85CB9CDB1464}"/>
  </bookViews>
  <sheets>
    <sheet name="Data" sheetId="1" r:id="rId1"/>
    <sheet name="Aggregate Functions" sheetId="2" r:id="rId2"/>
    <sheet name="String Functions" sheetId="3" r:id="rId3"/>
    <sheet name="PIVOT" sheetId="9" r:id="rId4"/>
    <sheet name="Data Validation" sheetId="10" r:id="rId5"/>
    <sheet name="Chart" sheetId="5" r:id="rId6"/>
    <sheet name="VLOOKUP" sheetId="6" r:id="rId7"/>
  </sheets>
  <definedNames>
    <definedName name="Slicer_Product">#N/A</definedName>
    <definedName name="Slicer_Region">#N/A</definedName>
    <definedName name="Slicer_Region1">#N/A</definedName>
    <definedName name="Slicer_Revenue">#N/A</definedName>
    <definedName name="Slicer_Salesperson">#N/A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4:slicerCache r:id="rId12"/>
        <x14:slicerCache r:id="rId1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6" l="1"/>
  <c r="M1" i="6"/>
  <c r="L3" i="10"/>
  <c r="L4" i="10"/>
  <c r="L5" i="10"/>
  <c r="L6" i="10"/>
  <c r="L7" i="10"/>
  <c r="L8" i="10"/>
  <c r="L9" i="10"/>
  <c r="L10" i="10"/>
  <c r="L11" i="10"/>
  <c r="L12" i="10"/>
  <c r="L13" i="10"/>
  <c r="L14" i="10"/>
  <c r="L15" i="10"/>
  <c r="L16" i="10"/>
  <c r="L17" i="10"/>
  <c r="L18" i="10"/>
  <c r="L19" i="10"/>
  <c r="L20" i="10"/>
  <c r="L21" i="10"/>
  <c r="L22" i="10"/>
  <c r="L23" i="10"/>
  <c r="L24" i="10"/>
  <c r="L25" i="10"/>
  <c r="L26" i="10"/>
  <c r="L27" i="10"/>
  <c r="L28" i="10"/>
  <c r="L29"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6" i="10"/>
  <c r="L67" i="10"/>
  <c r="L68" i="10"/>
  <c r="L69" i="10"/>
  <c r="L70" i="10"/>
  <c r="L71" i="10"/>
  <c r="L72" i="10"/>
  <c r="L73" i="10"/>
  <c r="L74" i="10"/>
  <c r="L75" i="10"/>
  <c r="L76" i="10"/>
  <c r="L77" i="10"/>
  <c r="L78" i="10"/>
  <c r="L79" i="10"/>
  <c r="L80" i="10"/>
  <c r="L81" i="10"/>
  <c r="L82" i="10"/>
  <c r="L83" i="10"/>
  <c r="L84" i="10"/>
  <c r="L85" i="10"/>
  <c r="L86" i="10"/>
  <c r="L87" i="10"/>
  <c r="L88" i="10"/>
  <c r="L89" i="10"/>
  <c r="L90" i="10"/>
  <c r="L91" i="10"/>
  <c r="L92" i="10"/>
  <c r="L93" i="10"/>
  <c r="L94" i="10"/>
  <c r="L95" i="10"/>
  <c r="L96" i="10"/>
  <c r="L97" i="10"/>
  <c r="L98" i="10"/>
  <c r="L99" i="10"/>
  <c r="L100" i="10"/>
  <c r="L101" i="10"/>
  <c r="L2" i="10"/>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2" i="3"/>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2" i="3"/>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2"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2" i="3"/>
  <c r="P2" i="3" a="1"/>
  <c r="P2" i="3" s="1"/>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2" i="3"/>
  <c r="K3" i="3"/>
  <c r="K4" i="3"/>
  <c r="O4" i="3" s="1"/>
  <c r="K5" i="3"/>
  <c r="K6" i="3"/>
  <c r="K7" i="3"/>
  <c r="K8" i="3"/>
  <c r="K9" i="3"/>
  <c r="K10" i="3"/>
  <c r="K11" i="3"/>
  <c r="K12" i="3"/>
  <c r="O12" i="3" s="1"/>
  <c r="K13" i="3"/>
  <c r="K14" i="3"/>
  <c r="K15" i="3"/>
  <c r="K16" i="3"/>
  <c r="K17" i="3"/>
  <c r="K18" i="3"/>
  <c r="K19" i="3"/>
  <c r="K20" i="3"/>
  <c r="O20" i="3" s="1"/>
  <c r="K21" i="3"/>
  <c r="K22" i="3"/>
  <c r="K23" i="3"/>
  <c r="K24" i="3"/>
  <c r="K25" i="3"/>
  <c r="K26" i="3"/>
  <c r="K27" i="3"/>
  <c r="K28" i="3"/>
  <c r="O28" i="3" s="1"/>
  <c r="K29" i="3"/>
  <c r="K30" i="3"/>
  <c r="K31" i="3"/>
  <c r="K32" i="3"/>
  <c r="K33" i="3"/>
  <c r="K34" i="3"/>
  <c r="K35" i="3"/>
  <c r="K36" i="3"/>
  <c r="O36" i="3" s="1"/>
  <c r="K37" i="3"/>
  <c r="K38" i="3"/>
  <c r="K39" i="3"/>
  <c r="K40" i="3"/>
  <c r="K41" i="3"/>
  <c r="K42" i="3"/>
  <c r="K43" i="3"/>
  <c r="K44" i="3"/>
  <c r="O44" i="3" s="1"/>
  <c r="K45" i="3"/>
  <c r="K46" i="3"/>
  <c r="K47" i="3"/>
  <c r="K48" i="3"/>
  <c r="K49" i="3"/>
  <c r="K50" i="3"/>
  <c r="K51" i="3"/>
  <c r="K52" i="3"/>
  <c r="O52" i="3" s="1"/>
  <c r="K53" i="3"/>
  <c r="K54" i="3"/>
  <c r="K55" i="3"/>
  <c r="K56" i="3"/>
  <c r="K57" i="3"/>
  <c r="K58" i="3"/>
  <c r="K59" i="3"/>
  <c r="K60" i="3"/>
  <c r="O60" i="3" s="1"/>
  <c r="K61" i="3"/>
  <c r="K62" i="3"/>
  <c r="K63" i="3"/>
  <c r="K64" i="3"/>
  <c r="K65" i="3"/>
  <c r="K66" i="3"/>
  <c r="K67" i="3"/>
  <c r="K68" i="3"/>
  <c r="O68" i="3" s="1"/>
  <c r="K69" i="3"/>
  <c r="K70" i="3"/>
  <c r="K71" i="3"/>
  <c r="K72" i="3"/>
  <c r="K73" i="3"/>
  <c r="K74" i="3"/>
  <c r="K75" i="3"/>
  <c r="K76" i="3"/>
  <c r="O76" i="3" s="1"/>
  <c r="K77" i="3"/>
  <c r="K78" i="3"/>
  <c r="K79" i="3"/>
  <c r="K80" i="3"/>
  <c r="K81" i="3"/>
  <c r="K82" i="3"/>
  <c r="K83" i="3"/>
  <c r="K84" i="3"/>
  <c r="O84" i="3" s="1"/>
  <c r="K85" i="3"/>
  <c r="K86" i="3"/>
  <c r="K87" i="3"/>
  <c r="K88" i="3"/>
  <c r="K89" i="3"/>
  <c r="K90" i="3"/>
  <c r="K91" i="3"/>
  <c r="K92" i="3"/>
  <c r="O92" i="3" s="1"/>
  <c r="K93" i="3"/>
  <c r="K94" i="3"/>
  <c r="K95" i="3"/>
  <c r="K96" i="3"/>
  <c r="K97" i="3"/>
  <c r="K98" i="3"/>
  <c r="K99" i="3"/>
  <c r="K100" i="3"/>
  <c r="O100" i="3" s="1"/>
  <c r="K101" i="3"/>
  <c r="K2" i="3"/>
  <c r="L19" i="2"/>
  <c r="L25" i="2"/>
  <c r="L4" i="2"/>
  <c r="L3" i="2"/>
  <c r="Q6" i="2"/>
  <c r="Q5" i="2"/>
  <c r="Q4" i="2"/>
  <c r="Q3" i="2"/>
  <c r="H108" i="2"/>
  <c r="H107" i="2"/>
  <c r="H106" i="2"/>
  <c r="H105" i="2"/>
  <c r="O86" i="3" l="1"/>
  <c r="O62" i="3"/>
  <c r="O14" i="3"/>
  <c r="O2" i="3"/>
  <c r="O78" i="3"/>
  <c r="O54" i="3"/>
  <c r="O38" i="3"/>
  <c r="O30" i="3"/>
  <c r="O6" i="3"/>
  <c r="O101" i="3"/>
  <c r="O93" i="3"/>
  <c r="O85" i="3"/>
  <c r="O77" i="3"/>
  <c r="O69" i="3"/>
  <c r="O61" i="3"/>
  <c r="O53" i="3"/>
  <c r="O45" i="3"/>
  <c r="O37" i="3"/>
  <c r="O29" i="3"/>
  <c r="O21" i="3"/>
  <c r="O13" i="3"/>
  <c r="O5" i="3"/>
  <c r="O94" i="3"/>
  <c r="O70" i="3"/>
  <c r="O46" i="3"/>
  <c r="O22" i="3"/>
  <c r="O95" i="3"/>
  <c r="O87" i="3"/>
  <c r="O79" i="3"/>
  <c r="O71" i="3"/>
  <c r="O63" i="3"/>
  <c r="O55" i="3"/>
  <c r="O47" i="3"/>
  <c r="O39" i="3"/>
  <c r="O31" i="3"/>
  <c r="O23" i="3"/>
  <c r="O15" i="3"/>
  <c r="O7" i="3"/>
  <c r="O99" i="3"/>
  <c r="O75" i="3"/>
  <c r="O67" i="3"/>
  <c r="O59" i="3"/>
  <c r="O51" i="3"/>
  <c r="O43" i="3"/>
  <c r="O35" i="3"/>
  <c r="O27" i="3"/>
  <c r="O19" i="3"/>
  <c r="O11" i="3"/>
  <c r="O3" i="3"/>
  <c r="O91" i="3"/>
  <c r="O83" i="3"/>
  <c r="O98" i="3"/>
  <c r="O58" i="3"/>
  <c r="O10" i="3"/>
  <c r="O82" i="3"/>
  <c r="O50" i="3"/>
  <c r="O18" i="3"/>
  <c r="O74" i="3"/>
  <c r="O89" i="3"/>
  <c r="O73" i="3"/>
  <c r="O57" i="3"/>
  <c r="O41" i="3"/>
  <c r="O25" i="3"/>
  <c r="O9" i="3"/>
  <c r="O88" i="3"/>
  <c r="O80" i="3"/>
  <c r="O72" i="3"/>
  <c r="O64" i="3"/>
  <c r="O56" i="3"/>
  <c r="O48" i="3"/>
  <c r="O40" i="3"/>
  <c r="O32" i="3"/>
  <c r="O24" i="3"/>
  <c r="O16" i="3"/>
  <c r="O8" i="3"/>
  <c r="O90" i="3"/>
  <c r="O66" i="3"/>
  <c r="O42" i="3"/>
  <c r="O34" i="3"/>
  <c r="O26" i="3"/>
  <c r="O97" i="3"/>
  <c r="O81" i="3"/>
  <c r="O65" i="3"/>
  <c r="O49" i="3"/>
  <c r="O33" i="3"/>
  <c r="O17" i="3"/>
  <c r="O96"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<sst xmlns="http://schemas.openxmlformats.org/spreadsheetml/2006/main" count="4430" uniqueCount="373">
  <si>
    <t>Order_ID</t>
  </si>
  <si>
    <t>Order_Date</t>
  </si>
  <si>
    <t>Customer_Name</t>
  </si>
  <si>
    <t>Region</t>
  </si>
  <si>
    <t>Product</t>
  </si>
  <si>
    <t>Quantity</t>
  </si>
  <si>
    <t>Unit_Price</t>
  </si>
  <si>
    <t>Revenue</t>
  </si>
  <si>
    <t>Salesperson</t>
  </si>
  <si>
    <t>Payment_Method</t>
  </si>
  <si>
    <t>ORD0001</t>
  </si>
  <si>
    <t>2025-09-04</t>
  </si>
  <si>
    <t>Edward Tucker</t>
  </si>
  <si>
    <t>North</t>
  </si>
  <si>
    <t>Laptop</t>
  </si>
  <si>
    <t>Kiran</t>
  </si>
  <si>
    <t>Card</t>
  </si>
  <si>
    <t>ORD0002</t>
  </si>
  <si>
    <t>2025-07-26</t>
  </si>
  <si>
    <t>Dr. Michael Smith</t>
  </si>
  <si>
    <t>East</t>
  </si>
  <si>
    <t>Meena</t>
  </si>
  <si>
    <t>UPI</t>
  </si>
  <si>
    <t>ORD0003</t>
  </si>
  <si>
    <t>2025-10-05</t>
  </si>
  <si>
    <t>Donna Frost</t>
  </si>
  <si>
    <t>Headphones</t>
  </si>
  <si>
    <t>Cash</t>
  </si>
  <si>
    <t>ORD0004</t>
  </si>
  <si>
    <t>2025-10-03</t>
  </si>
  <si>
    <t>Nicole Hernandez</t>
  </si>
  <si>
    <t>Keyboard</t>
  </si>
  <si>
    <t>ORD0005</t>
  </si>
  <si>
    <t>2025-04-17</t>
  </si>
  <si>
    <t>Keith Hanna</t>
  </si>
  <si>
    <t>Priya</t>
  </si>
  <si>
    <t>ORD0006</t>
  </si>
  <si>
    <t>2025-08-26</t>
  </si>
  <si>
    <t>Ricky Moore</t>
  </si>
  <si>
    <t>Arun</t>
  </si>
  <si>
    <t>Net Banking</t>
  </si>
  <si>
    <t>ORD0007</t>
  </si>
  <si>
    <t>2025-09-05</t>
  </si>
  <si>
    <t>Tammy Vaughn</t>
  </si>
  <si>
    <t>South</t>
  </si>
  <si>
    <t>Monitor</t>
  </si>
  <si>
    <t>ORD0008</t>
  </si>
  <si>
    <t>2025-12-12</t>
  </si>
  <si>
    <t>Michael Warner</t>
  </si>
  <si>
    <t>West</t>
  </si>
  <si>
    <t>ORD0009</t>
  </si>
  <si>
    <t>2025-09-24</t>
  </si>
  <si>
    <t>Julie Anderson</t>
  </si>
  <si>
    <t>David</t>
  </si>
  <si>
    <t>ORD0010</t>
  </si>
  <si>
    <t>2025-05-30</t>
  </si>
  <si>
    <t>Carrie Olson</t>
  </si>
  <si>
    <t>ORD0011</t>
  </si>
  <si>
    <t>2025-05-14</t>
  </si>
  <si>
    <t>Lawrence Dougherty</t>
  </si>
  <si>
    <t>Tablet</t>
  </si>
  <si>
    <t>ORD0012</t>
  </si>
  <si>
    <t>2025-05-11</t>
  </si>
  <si>
    <t>Kyle Johnson</t>
  </si>
  <si>
    <t>ORD0013</t>
  </si>
  <si>
    <t>2025-05-23</t>
  </si>
  <si>
    <t>Laura Duran</t>
  </si>
  <si>
    <t>John</t>
  </si>
  <si>
    <t>ORD0014</t>
  </si>
  <si>
    <t>2025-09-20</t>
  </si>
  <si>
    <t>Heidi Gill</t>
  </si>
  <si>
    <t>ORD0015</t>
  </si>
  <si>
    <t>2025-11-23</t>
  </si>
  <si>
    <t>Michael Williams</t>
  </si>
  <si>
    <t>ORD0016</t>
  </si>
  <si>
    <t>2025-09-19</t>
  </si>
  <si>
    <t>Wendy Walker MD</t>
  </si>
  <si>
    <t>ORD0017</t>
  </si>
  <si>
    <t>2025-11-12</t>
  </si>
  <si>
    <t>Cindy Leonard</t>
  </si>
  <si>
    <t>ORD0018</t>
  </si>
  <si>
    <t>2025-04-18</t>
  </si>
  <si>
    <t>Omar Tanner Jr.</t>
  </si>
  <si>
    <t>ORD0019</t>
  </si>
  <si>
    <t>2025-11-09</t>
  </si>
  <si>
    <t>Corey Bowman</t>
  </si>
  <si>
    <t>Mobile</t>
  </si>
  <si>
    <t>ORD0020</t>
  </si>
  <si>
    <t>2025-05-06</t>
  </si>
  <si>
    <t>Molly Simmons</t>
  </si>
  <si>
    <t>ORD0021</t>
  </si>
  <si>
    <t>2025-12-11</t>
  </si>
  <si>
    <t>Connie Gould</t>
  </si>
  <si>
    <t>ORD0022</t>
  </si>
  <si>
    <t>Felicia Davis</t>
  </si>
  <si>
    <t>ORD0023</t>
  </si>
  <si>
    <t>2025-11-19</t>
  </si>
  <si>
    <t>Kimberly Ramos</t>
  </si>
  <si>
    <t>ORD0024</t>
  </si>
  <si>
    <t>2025-08-16</t>
  </si>
  <si>
    <t>Kelli Harrell</t>
  </si>
  <si>
    <t>ORD0025</t>
  </si>
  <si>
    <t>2025-10-06</t>
  </si>
  <si>
    <t>Melissa Miller</t>
  </si>
  <si>
    <t>ORD0026</t>
  </si>
  <si>
    <t>2025-01-15</t>
  </si>
  <si>
    <t>Loretta Howard</t>
  </si>
  <si>
    <t>ORD0027</t>
  </si>
  <si>
    <t>2025-01-08</t>
  </si>
  <si>
    <t>David Kelly</t>
  </si>
  <si>
    <t>ORD0028</t>
  </si>
  <si>
    <t>2025-10-29</t>
  </si>
  <si>
    <t>Laura Booth</t>
  </si>
  <si>
    <t>ORD0029</t>
  </si>
  <si>
    <t>2025-07-18</t>
  </si>
  <si>
    <t>Kelly Berger</t>
  </si>
  <si>
    <t>ORD0030</t>
  </si>
  <si>
    <t>2025-11-05</t>
  </si>
  <si>
    <t>Angela Hill</t>
  </si>
  <si>
    <t>ORD0031</t>
  </si>
  <si>
    <t>2025-09-14</t>
  </si>
  <si>
    <t>Alexander Nunez</t>
  </si>
  <si>
    <t>ORD0032</t>
  </si>
  <si>
    <t>2025-08-22</t>
  </si>
  <si>
    <t>Michele Riggs</t>
  </si>
  <si>
    <t>ORD0033</t>
  </si>
  <si>
    <t>2025-07-11</t>
  </si>
  <si>
    <t>Michelle Watson</t>
  </si>
  <si>
    <t>ORD0034</t>
  </si>
  <si>
    <t>2025-09-07</t>
  </si>
  <si>
    <t>Veronica Thompson</t>
  </si>
  <si>
    <t>ORD0035</t>
  </si>
  <si>
    <t>2025-12-31</t>
  </si>
  <si>
    <t>Megan Petersen</t>
  </si>
  <si>
    <t>ORD0036</t>
  </si>
  <si>
    <t>2025-10-16</t>
  </si>
  <si>
    <t>Kristi Smith</t>
  </si>
  <si>
    <t>ORD0037</t>
  </si>
  <si>
    <t>2025-08-14</t>
  </si>
  <si>
    <t>Joshua Stewart</t>
  </si>
  <si>
    <t>ORD0038</t>
  </si>
  <si>
    <t>2025-09-11</t>
  </si>
  <si>
    <t>Jason Fisher</t>
  </si>
  <si>
    <t>ORD0039</t>
  </si>
  <si>
    <t>2025-09-26</t>
  </si>
  <si>
    <t>Rhonda Hebert</t>
  </si>
  <si>
    <t>ORD0040</t>
  </si>
  <si>
    <t>2025-11-08</t>
  </si>
  <si>
    <t>Mark Harvey</t>
  </si>
  <si>
    <t>ORD0041</t>
  </si>
  <si>
    <t>2025-10-04</t>
  </si>
  <si>
    <t>Paula Mcintosh</t>
  </si>
  <si>
    <t>ORD0042</t>
  </si>
  <si>
    <t>Lynn Hammond</t>
  </si>
  <si>
    <t>ORD0043</t>
  </si>
  <si>
    <t>2025-10-21</t>
  </si>
  <si>
    <t>Joel Cowan</t>
  </si>
  <si>
    <t>ORD0044</t>
  </si>
  <si>
    <t>2025-02-28</t>
  </si>
  <si>
    <t>Brian Walker</t>
  </si>
  <si>
    <t>ORD0045</t>
  </si>
  <si>
    <t>2025-09-01</t>
  </si>
  <si>
    <t>Maria Santos</t>
  </si>
  <si>
    <t>ORD0046</t>
  </si>
  <si>
    <t>2025-05-15</t>
  </si>
  <si>
    <t>April Brown</t>
  </si>
  <si>
    <t>ORD0047</t>
  </si>
  <si>
    <t>2025-09-03</t>
  </si>
  <si>
    <t>Amy Hunter</t>
  </si>
  <si>
    <t>ORD0048</t>
  </si>
  <si>
    <t>Ashlee Moore</t>
  </si>
  <si>
    <t>ORD0049</t>
  </si>
  <si>
    <t>2025-04-10</t>
  </si>
  <si>
    <t>Elizabeth Smith</t>
  </si>
  <si>
    <t>ORD0050</t>
  </si>
  <si>
    <t>2025-02-26</t>
  </si>
  <si>
    <t>Shannon Miller</t>
  </si>
  <si>
    <t>ORD0051</t>
  </si>
  <si>
    <t>2025-11-20</t>
  </si>
  <si>
    <t>Tara Davis</t>
  </si>
  <si>
    <t>ORD0052</t>
  </si>
  <si>
    <t>2025-03-15</t>
  </si>
  <si>
    <t>Samantha Sherman</t>
  </si>
  <si>
    <t>ORD0053</t>
  </si>
  <si>
    <t>2025-11-03</t>
  </si>
  <si>
    <t>Benjamin Phillips</t>
  </si>
  <si>
    <t>ORD0054</t>
  </si>
  <si>
    <t>2025-07-25</t>
  </si>
  <si>
    <t>Cameron Murillo</t>
  </si>
  <si>
    <t>ORD0055</t>
  </si>
  <si>
    <t>2025-08-01</t>
  </si>
  <si>
    <t>Destiny Warner</t>
  </si>
  <si>
    <t>ORD0056</t>
  </si>
  <si>
    <t>Scott Davis</t>
  </si>
  <si>
    <t>ORD0057</t>
  </si>
  <si>
    <t>2025-12-23</t>
  </si>
  <si>
    <t>John Rogers</t>
  </si>
  <si>
    <t>ORD0058</t>
  </si>
  <si>
    <t>2025-03-07</t>
  </si>
  <si>
    <t>Crystal Hunt</t>
  </si>
  <si>
    <t>ORD0059</t>
  </si>
  <si>
    <t>2025-02-21</t>
  </si>
  <si>
    <t>Jonathan Ayala</t>
  </si>
  <si>
    <t>ORD0060</t>
  </si>
  <si>
    <t>2025-11-22</t>
  </si>
  <si>
    <t>Mathew Perry</t>
  </si>
  <si>
    <t>ORD0061</t>
  </si>
  <si>
    <t>2025-04-08</t>
  </si>
  <si>
    <t>Katelyn Dickerson</t>
  </si>
  <si>
    <t>ORD0062</t>
  </si>
  <si>
    <t>2025-01-23</t>
  </si>
  <si>
    <t>Bethany Patterson</t>
  </si>
  <si>
    <t>ORD0063</t>
  </si>
  <si>
    <t>2025-05-28</t>
  </si>
  <si>
    <t>Jennifer Kane</t>
  </si>
  <si>
    <t>ORD0064</t>
  </si>
  <si>
    <t>2025-08-02</t>
  </si>
  <si>
    <t>Derek Carter</t>
  </si>
  <si>
    <t>ORD0065</t>
  </si>
  <si>
    <t>2025-11-27</t>
  </si>
  <si>
    <t>Kristie Wilson</t>
  </si>
  <si>
    <t>ORD0066</t>
  </si>
  <si>
    <t>2025-03-23</t>
  </si>
  <si>
    <t>Bryan Moran</t>
  </si>
  <si>
    <t>ORD0067</t>
  </si>
  <si>
    <t>2025-06-23</t>
  </si>
  <si>
    <t>Emily Gomez</t>
  </si>
  <si>
    <t>ORD0068</t>
  </si>
  <si>
    <t>2025-12-05</t>
  </si>
  <si>
    <t>Jason Harding</t>
  </si>
  <si>
    <t>ORD0069</t>
  </si>
  <si>
    <t>2025-10-27</t>
  </si>
  <si>
    <t>Devin Simmons</t>
  </si>
  <si>
    <t>ORD0070</t>
  </si>
  <si>
    <t>2025-12-04</t>
  </si>
  <si>
    <t>Robert Reynolds</t>
  </si>
  <si>
    <t>ORD0071</t>
  </si>
  <si>
    <t>2025-01-25</t>
  </si>
  <si>
    <t>Evelyn Perry</t>
  </si>
  <si>
    <t>ORD0072</t>
  </si>
  <si>
    <t>2025-04-20</t>
  </si>
  <si>
    <t>Erica Welch</t>
  </si>
  <si>
    <t>ORD0073</t>
  </si>
  <si>
    <t>2025-10-17</t>
  </si>
  <si>
    <t>Alexandra Harrison</t>
  </si>
  <si>
    <t>ORD0074</t>
  </si>
  <si>
    <t>2025-06-05</t>
  </si>
  <si>
    <t>Nathan Brown</t>
  </si>
  <si>
    <t>ORD0075</t>
  </si>
  <si>
    <t>2025-11-24</t>
  </si>
  <si>
    <t>Jeremy Crawford</t>
  </si>
  <si>
    <t>ORD0076</t>
  </si>
  <si>
    <t>2025-06-18</t>
  </si>
  <si>
    <t>Amy Rodriguez</t>
  </si>
  <si>
    <t>ORD0077</t>
  </si>
  <si>
    <t>2025-03-18</t>
  </si>
  <si>
    <t>Mary Rodriguez</t>
  </si>
  <si>
    <t>ORD0078</t>
  </si>
  <si>
    <t>Virginia Lucas</t>
  </si>
  <si>
    <t>ORD0079</t>
  </si>
  <si>
    <t>2025-04-09</t>
  </si>
  <si>
    <t>Brandy Buchanan</t>
  </si>
  <si>
    <t>ORD0080</t>
  </si>
  <si>
    <t>2025-06-16</t>
  </si>
  <si>
    <t>Robin Hubbard</t>
  </si>
  <si>
    <t>ORD0081</t>
  </si>
  <si>
    <t>2025-03-04</t>
  </si>
  <si>
    <t>Jennifer Adams</t>
  </si>
  <si>
    <t>ORD0082</t>
  </si>
  <si>
    <t>2025-04-13</t>
  </si>
  <si>
    <t>Mr. Brian Taylor</t>
  </si>
  <si>
    <t>ORD0083</t>
  </si>
  <si>
    <t>2025-11-04</t>
  </si>
  <si>
    <t>Alison Rhodes</t>
  </si>
  <si>
    <t>ORD0084</t>
  </si>
  <si>
    <t>Justin Brown</t>
  </si>
  <si>
    <t>ORD0085</t>
  </si>
  <si>
    <t>2025-11-15</t>
  </si>
  <si>
    <t>Mary May</t>
  </si>
  <si>
    <t>ORD0086</t>
  </si>
  <si>
    <t>2025-08-07</t>
  </si>
  <si>
    <t>Thomas Benson</t>
  </si>
  <si>
    <t>ORD0087</t>
  </si>
  <si>
    <t>2025-03-14</t>
  </si>
  <si>
    <t>Mr. Caleb Peterson DDS</t>
  </si>
  <si>
    <t>ORD0088</t>
  </si>
  <si>
    <t>2025-05-03</t>
  </si>
  <si>
    <t>David Vasquez</t>
  </si>
  <si>
    <t>ORD0089</t>
  </si>
  <si>
    <t>2025-08-09</t>
  </si>
  <si>
    <t>Casey Morrison</t>
  </si>
  <si>
    <t>ORD0090</t>
  </si>
  <si>
    <t>Charles Phelps DVM</t>
  </si>
  <si>
    <t>ORD0091</t>
  </si>
  <si>
    <t>2025-09-18</t>
  </si>
  <si>
    <t>Jeffery Brown</t>
  </si>
  <si>
    <t>ORD0092</t>
  </si>
  <si>
    <t>2025-01-22</t>
  </si>
  <si>
    <t>Dennis Smith</t>
  </si>
  <si>
    <t>ORD0093</t>
  </si>
  <si>
    <t>Alex Glass</t>
  </si>
  <si>
    <t>ORD0094</t>
  </si>
  <si>
    <t>2025-01-02</t>
  </si>
  <si>
    <t>Johnny Padilla</t>
  </si>
  <si>
    <t>ORD0095</t>
  </si>
  <si>
    <t>2025-12-02</t>
  </si>
  <si>
    <t>Scott Willis</t>
  </si>
  <si>
    <t>ORD0096</t>
  </si>
  <si>
    <t>2025-07-13</t>
  </si>
  <si>
    <t>Denise Juarez</t>
  </si>
  <si>
    <t>ORD0097</t>
  </si>
  <si>
    <t>2025-03-08</t>
  </si>
  <si>
    <t>Jill James</t>
  </si>
  <si>
    <t>ORD0098</t>
  </si>
  <si>
    <t>2025-08-23</t>
  </si>
  <si>
    <t>Tracy Johnson</t>
  </si>
  <si>
    <t>ORD0099</t>
  </si>
  <si>
    <t>2025-08-19</t>
  </si>
  <si>
    <t>Thomas Smith</t>
  </si>
  <si>
    <t>ORD0100</t>
  </si>
  <si>
    <t>2025-12-07</t>
  </si>
  <si>
    <t>Dawn Gaines</t>
  </si>
  <si>
    <t>Total Revenue</t>
  </si>
  <si>
    <t>Total Count</t>
  </si>
  <si>
    <t>S.No</t>
  </si>
  <si>
    <t>Highest Revenue</t>
  </si>
  <si>
    <t>Lowest Revenue</t>
  </si>
  <si>
    <t>Result</t>
  </si>
  <si>
    <t>Function</t>
  </si>
  <si>
    <t>Region Average</t>
  </si>
  <si>
    <t>LEFT</t>
  </si>
  <si>
    <t>Extract characters from left</t>
  </si>
  <si>
    <t>RIGHT</t>
  </si>
  <si>
    <t>Extract characters from right</t>
  </si>
  <si>
    <t>MID</t>
  </si>
  <si>
    <t>LEN</t>
  </si>
  <si>
    <t>Count characters</t>
  </si>
  <si>
    <t>CONCAT / CONCATENATE</t>
  </si>
  <si>
    <t>Join text</t>
  </si>
  <si>
    <t>TEXTJOIN</t>
  </si>
  <si>
    <t>Join with separator</t>
  </si>
  <si>
    <t>UPPER</t>
  </si>
  <si>
    <t>Convert to uppercase</t>
  </si>
  <si>
    <t>LOWER</t>
  </si>
  <si>
    <t>Convert to lowercase</t>
  </si>
  <si>
    <t>PROPER</t>
  </si>
  <si>
    <t>Capitalize words</t>
  </si>
  <si>
    <t>TRIM</t>
  </si>
  <si>
    <t>Remove extra spaces</t>
  </si>
  <si>
    <t>SUBSTITUTE</t>
  </si>
  <si>
    <t>Replace text</t>
  </si>
  <si>
    <t>REPLACE</t>
  </si>
  <si>
    <t>Replace by position</t>
  </si>
  <si>
    <t>FIND</t>
  </si>
  <si>
    <t>Find position of text</t>
  </si>
  <si>
    <t>SEARCH</t>
  </si>
  <si>
    <t>Search text</t>
  </si>
  <si>
    <t>Row Labels</t>
  </si>
  <si>
    <t>Grand Total</t>
  </si>
  <si>
    <t>(All)</t>
  </si>
  <si>
    <t>Sum of Revenue</t>
  </si>
  <si>
    <t>Customer Status</t>
  </si>
  <si>
    <t>Finding the ORD0012 Revenue</t>
  </si>
  <si>
    <t>Finding the ORD0012 Product</t>
  </si>
  <si>
    <t>Scenario:</t>
  </si>
  <si>
    <r>
      <t xml:space="preserve">The company wants </t>
    </r>
    <r>
      <rPr>
        <b/>
        <sz val="10"/>
        <color rgb="FF000000"/>
        <rFont val="Arial"/>
        <family val="2"/>
      </rPr>
      <t>Revenue and Profit Analysis</t>
    </r>
    <r>
      <rPr>
        <sz val="10"/>
        <color rgb="FF000000"/>
        <rFont val="Arial"/>
        <family val="2"/>
      </rPr>
      <t>.</t>
    </r>
  </si>
  <si>
    <t>Questions:</t>
  </si>
  <si>
    <t>1. How will you calculate Revenue?</t>
  </si>
  <si>
    <t>2. How will you calculate Profit?</t>
  </si>
  <si>
    <t>3. How will you calculate Loss?</t>
  </si>
  <si>
    <t>4. How will you calculate Monthly Growth?</t>
  </si>
  <si>
    <t>5. How will you create a Revenue Chart?</t>
  </si>
  <si>
    <t>Revenue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</si>
</sst>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b/>
      <sz val="11"/>
      <color theme="1"/>
      <name val="Calibri"/>
      <family val="2"/>
      <scheme val="minor"/>
    </font>
    <font>
      <b/>
      <sz val="10"/>
      <color rgb="FF000000"/>
      <name val="Arial"/>
      <family val="2"/>
    </font>
    <font>
      <sz val="10"/>
      <color rgb="FF000000"/>
      <name val="Arial"/>
      <family val="2"/>
    </font>
  </fonts>
  <fills count="4">
    <fill>
      <patternFill patternType="none"/>
    </fill>
    <fill>
      <patternFill patternType="gray125"/>
    </fill>
    <fill>
      <patternFill patternType="solid">
        <fgColor theme="4"/>
        <bgColor theme="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0">
    <xf numFmtId="0" fontId="0" fillId="0" borderId="0" xfId="0"/>
    <xf numFmtId="0" fontId="2" fillId="0" borderId="2" xfId="0" applyFont="1" applyBorder="1" applyAlignment="1">
      <alignment horizontal="center" vertical="top"/>
    </xf>
    <xf numFmtId="0" fontId="1" fillId="2" borderId="1" xfId="0" applyFont="1" applyFill="1" applyBorder="1" applyAlignment="1">
      <alignment horizontal="center" vertical="top"/>
    </xf>
    <xf numFmtId="0" fontId="0" fillId="0" borderId="0" xfId="0" pivotButton="1"/>
    <xf numFmtId="0" fontId="0" fillId="0" borderId="0" xfId="0" applyAlignment="1">
      <alignment horizontal="left"/>
    </xf>
    <xf numFmtId="0" fontId="0" fillId="3" borderId="0" xfId="0" applyFill="1"/>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left" vertical="center" indent="1"/>
    </xf>
    <xf numFmtId="0" fontId="3" fillId="0" borderId="0" xfId="0" applyFont="1"/>
  </cellXfs>
  <cellStyles count="1">
    <cellStyle name="Normal" xfId="0" builtinId="0"/>
  </cellStyles>
  <dxfs count="18">
    <dxf>
      <border outline="0">
        <bottom style="thin">
          <color auto="1"/>
        </bottom>
      </border>
    </dxf>
    <dxf>
      <border outline="0">
        <top style="thin">
          <color auto="1"/>
        </top>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Chart!$H$1</c:f>
              <c:strCache>
                <c:ptCount val="1"/>
                <c:pt idx="0">
                  <c:v>Revenue</c:v>
                </c:pt>
              </c:strCache>
            </c:strRef>
          </c:tx>
          <c:spPr>
            <a:ln w="28575" cap="rnd">
              <a:solidFill>
                <a:schemeClr val="accent1"/>
              </a:solidFill>
              <a:round/>
            </a:ln>
            <a:effectLst/>
          </c:spPr>
          <c:marker>
            <c:symbol val="none"/>
          </c:marker>
          <c:cat>
            <c:strRef>
              <c:f>Chart!$B$2:$B$101</c:f>
              <c:strCache>
                <c:ptCount val="100"/>
                <c:pt idx="0">
                  <c:v>2025-09-04</c:v>
                </c:pt>
                <c:pt idx="1">
                  <c:v>2025-07-26</c:v>
                </c:pt>
                <c:pt idx="2">
                  <c:v>2025-10-05</c:v>
                </c:pt>
                <c:pt idx="3">
                  <c:v>2025-10-03</c:v>
                </c:pt>
                <c:pt idx="4">
                  <c:v>2025-04-17</c:v>
                </c:pt>
                <c:pt idx="5">
                  <c:v>2025-08-26</c:v>
                </c:pt>
                <c:pt idx="6">
                  <c:v>2025-09-05</c:v>
                </c:pt>
                <c:pt idx="7">
                  <c:v>2025-12-12</c:v>
                </c:pt>
                <c:pt idx="8">
                  <c:v>2025-09-24</c:v>
                </c:pt>
                <c:pt idx="9">
                  <c:v>2025-05-30</c:v>
                </c:pt>
                <c:pt idx="10">
                  <c:v>2025-05-14</c:v>
                </c:pt>
                <c:pt idx="11">
                  <c:v>2025-05-11</c:v>
                </c:pt>
                <c:pt idx="12">
                  <c:v>2025-05-23</c:v>
                </c:pt>
                <c:pt idx="13">
                  <c:v>2025-09-20</c:v>
                </c:pt>
                <c:pt idx="14">
                  <c:v>2025-11-23</c:v>
                </c:pt>
                <c:pt idx="15">
                  <c:v>2025-09-19</c:v>
                </c:pt>
                <c:pt idx="16">
                  <c:v>2025-11-12</c:v>
                </c:pt>
                <c:pt idx="17">
                  <c:v>2025-04-18</c:v>
                </c:pt>
                <c:pt idx="18">
                  <c:v>2025-11-09</c:v>
                </c:pt>
                <c:pt idx="19">
                  <c:v>2025-05-06</c:v>
                </c:pt>
                <c:pt idx="20">
                  <c:v>2025-12-11</c:v>
                </c:pt>
                <c:pt idx="21">
                  <c:v>2025-05-23</c:v>
                </c:pt>
                <c:pt idx="22">
                  <c:v>2025-11-19</c:v>
                </c:pt>
                <c:pt idx="23">
                  <c:v>2025-08-16</c:v>
                </c:pt>
                <c:pt idx="24">
                  <c:v>2025-10-06</c:v>
                </c:pt>
                <c:pt idx="25">
                  <c:v>2025-01-15</c:v>
                </c:pt>
                <c:pt idx="26">
                  <c:v>2025-01-08</c:v>
                </c:pt>
                <c:pt idx="27">
                  <c:v>2025-10-29</c:v>
                </c:pt>
                <c:pt idx="28">
                  <c:v>2025-07-18</c:v>
                </c:pt>
                <c:pt idx="29">
                  <c:v>2025-11-05</c:v>
                </c:pt>
                <c:pt idx="30">
                  <c:v>2025-09-14</c:v>
                </c:pt>
                <c:pt idx="31">
                  <c:v>2025-08-22</c:v>
                </c:pt>
                <c:pt idx="32">
                  <c:v>2025-07-11</c:v>
                </c:pt>
                <c:pt idx="33">
                  <c:v>2025-09-07</c:v>
                </c:pt>
                <c:pt idx="34">
                  <c:v>2025-12-31</c:v>
                </c:pt>
                <c:pt idx="35">
                  <c:v>2025-10-16</c:v>
                </c:pt>
                <c:pt idx="36">
                  <c:v>2025-08-14</c:v>
                </c:pt>
                <c:pt idx="37">
                  <c:v>2025-09-11</c:v>
                </c:pt>
                <c:pt idx="38">
                  <c:v>2025-09-26</c:v>
                </c:pt>
                <c:pt idx="39">
                  <c:v>2025-11-08</c:v>
                </c:pt>
                <c:pt idx="40">
                  <c:v>2025-10-04</c:v>
                </c:pt>
                <c:pt idx="41">
                  <c:v>2025-09-14</c:v>
                </c:pt>
                <c:pt idx="42">
                  <c:v>2025-10-21</c:v>
                </c:pt>
                <c:pt idx="43">
                  <c:v>2025-02-28</c:v>
                </c:pt>
                <c:pt idx="44">
                  <c:v>2025-09-01</c:v>
                </c:pt>
                <c:pt idx="45">
                  <c:v>2025-05-15</c:v>
                </c:pt>
                <c:pt idx="46">
                  <c:v>2025-09-03</c:v>
                </c:pt>
                <c:pt idx="47">
                  <c:v>2025-05-06</c:v>
                </c:pt>
                <c:pt idx="48">
                  <c:v>2025-04-10</c:v>
                </c:pt>
                <c:pt idx="49">
                  <c:v>2025-02-26</c:v>
                </c:pt>
                <c:pt idx="50">
                  <c:v>2025-11-20</c:v>
                </c:pt>
                <c:pt idx="51">
                  <c:v>2025-03-15</c:v>
                </c:pt>
                <c:pt idx="52">
                  <c:v>2025-11-03</c:v>
                </c:pt>
                <c:pt idx="53">
                  <c:v>2025-07-25</c:v>
                </c:pt>
                <c:pt idx="54">
                  <c:v>2025-08-01</c:v>
                </c:pt>
                <c:pt idx="55">
                  <c:v>2025-10-03</c:v>
                </c:pt>
                <c:pt idx="56">
                  <c:v>2025-12-23</c:v>
                </c:pt>
                <c:pt idx="57">
                  <c:v>2025-03-07</c:v>
                </c:pt>
                <c:pt idx="58">
                  <c:v>2025-02-21</c:v>
                </c:pt>
                <c:pt idx="59">
                  <c:v>2025-11-22</c:v>
                </c:pt>
                <c:pt idx="60">
                  <c:v>2025-04-08</c:v>
                </c:pt>
                <c:pt idx="61">
                  <c:v>2025-01-23</c:v>
                </c:pt>
                <c:pt idx="62">
                  <c:v>2025-05-28</c:v>
                </c:pt>
                <c:pt idx="63">
                  <c:v>2025-08-02</c:v>
                </c:pt>
                <c:pt idx="64">
                  <c:v>2025-11-27</c:v>
                </c:pt>
                <c:pt idx="65">
                  <c:v>2025-03-23</c:v>
                </c:pt>
                <c:pt idx="66">
                  <c:v>2025-06-23</c:v>
                </c:pt>
                <c:pt idx="67">
                  <c:v>2025-12-05</c:v>
                </c:pt>
                <c:pt idx="68">
                  <c:v>2025-10-27</c:v>
                </c:pt>
                <c:pt idx="69">
                  <c:v>2025-12-04</c:v>
                </c:pt>
                <c:pt idx="70">
                  <c:v>2025-01-25</c:v>
                </c:pt>
                <c:pt idx="71">
                  <c:v>2025-04-20</c:v>
                </c:pt>
                <c:pt idx="72">
                  <c:v>2025-10-17</c:v>
                </c:pt>
                <c:pt idx="73">
                  <c:v>2025-06-05</c:v>
                </c:pt>
                <c:pt idx="74">
                  <c:v>2025-11-24</c:v>
                </c:pt>
                <c:pt idx="75">
                  <c:v>2025-06-18</c:v>
                </c:pt>
                <c:pt idx="76">
                  <c:v>2025-03-18</c:v>
                </c:pt>
                <c:pt idx="77">
                  <c:v>2025-11-24</c:v>
                </c:pt>
                <c:pt idx="78">
                  <c:v>2025-04-09</c:v>
                </c:pt>
                <c:pt idx="79">
                  <c:v>2025-06-16</c:v>
                </c:pt>
                <c:pt idx="80">
                  <c:v>2025-03-04</c:v>
                </c:pt>
                <c:pt idx="81">
                  <c:v>2025-04-13</c:v>
                </c:pt>
                <c:pt idx="82">
                  <c:v>2025-11-04</c:v>
                </c:pt>
                <c:pt idx="83">
                  <c:v>2025-07-25</c:v>
                </c:pt>
                <c:pt idx="84">
                  <c:v>2025-11-15</c:v>
                </c:pt>
                <c:pt idx="85">
                  <c:v>2025-08-07</c:v>
                </c:pt>
                <c:pt idx="86">
                  <c:v>2025-03-14</c:v>
                </c:pt>
                <c:pt idx="87">
                  <c:v>2025-05-03</c:v>
                </c:pt>
                <c:pt idx="88">
                  <c:v>2025-08-09</c:v>
                </c:pt>
                <c:pt idx="89">
                  <c:v>2025-04-17</c:v>
                </c:pt>
                <c:pt idx="90">
                  <c:v>2025-09-18</c:v>
                </c:pt>
                <c:pt idx="91">
                  <c:v>2025-01-22</c:v>
                </c:pt>
                <c:pt idx="92">
                  <c:v>2025-11-15</c:v>
                </c:pt>
                <c:pt idx="93">
                  <c:v>2025-01-02</c:v>
                </c:pt>
                <c:pt idx="94">
                  <c:v>2025-12-02</c:v>
                </c:pt>
                <c:pt idx="95">
                  <c:v>2025-07-13</c:v>
                </c:pt>
                <c:pt idx="96">
                  <c:v>2025-03-08</c:v>
                </c:pt>
                <c:pt idx="97">
                  <c:v>2025-08-23</c:v>
                </c:pt>
                <c:pt idx="98">
                  <c:v>2025-08-19</c:v>
                </c:pt>
                <c:pt idx="99">
                  <c:v>2025-12-07</c:v>
                </c:pt>
              </c:strCache>
            </c:strRef>
          </c:cat>
          <c:val>
            <c:numRef>
              <c:f>Chart!$H$2:$H$101</c:f>
              <c:numCache>
                <c:formatCode>General</c:formatCode>
                <c:ptCount val="100"/>
                <c:pt idx="0">
                  <c:v>7680</c:v>
                </c:pt>
                <c:pt idx="1">
                  <c:v>7176</c:v>
                </c:pt>
                <c:pt idx="2">
                  <c:v>5754</c:v>
                </c:pt>
                <c:pt idx="3">
                  <c:v>10650</c:v>
                </c:pt>
                <c:pt idx="4">
                  <c:v>3912</c:v>
                </c:pt>
                <c:pt idx="5">
                  <c:v>5495</c:v>
                </c:pt>
                <c:pt idx="6">
                  <c:v>1896</c:v>
                </c:pt>
                <c:pt idx="7">
                  <c:v>7736</c:v>
                </c:pt>
                <c:pt idx="8">
                  <c:v>1198</c:v>
                </c:pt>
                <c:pt idx="9">
                  <c:v>8856</c:v>
                </c:pt>
                <c:pt idx="10">
                  <c:v>6655</c:v>
                </c:pt>
                <c:pt idx="11">
                  <c:v>3390</c:v>
                </c:pt>
                <c:pt idx="12">
                  <c:v>7232</c:v>
                </c:pt>
                <c:pt idx="13">
                  <c:v>1141</c:v>
                </c:pt>
                <c:pt idx="14">
                  <c:v>8598</c:v>
                </c:pt>
                <c:pt idx="15">
                  <c:v>1766</c:v>
                </c:pt>
                <c:pt idx="16">
                  <c:v>18780</c:v>
                </c:pt>
                <c:pt idx="17">
                  <c:v>9927</c:v>
                </c:pt>
                <c:pt idx="18">
                  <c:v>8289</c:v>
                </c:pt>
                <c:pt idx="19">
                  <c:v>3240</c:v>
                </c:pt>
                <c:pt idx="20">
                  <c:v>10584</c:v>
                </c:pt>
                <c:pt idx="21">
                  <c:v>8650</c:v>
                </c:pt>
                <c:pt idx="22">
                  <c:v>5885</c:v>
                </c:pt>
                <c:pt idx="23">
                  <c:v>6216</c:v>
                </c:pt>
                <c:pt idx="24">
                  <c:v>1875</c:v>
                </c:pt>
                <c:pt idx="25">
                  <c:v>3556</c:v>
                </c:pt>
                <c:pt idx="26">
                  <c:v>2037</c:v>
                </c:pt>
                <c:pt idx="27">
                  <c:v>19600</c:v>
                </c:pt>
                <c:pt idx="28">
                  <c:v>2394</c:v>
                </c:pt>
                <c:pt idx="29">
                  <c:v>5835</c:v>
                </c:pt>
                <c:pt idx="30">
                  <c:v>2380</c:v>
                </c:pt>
                <c:pt idx="31">
                  <c:v>4443</c:v>
                </c:pt>
                <c:pt idx="32">
                  <c:v>18400</c:v>
                </c:pt>
                <c:pt idx="33">
                  <c:v>1140</c:v>
                </c:pt>
                <c:pt idx="34">
                  <c:v>2968</c:v>
                </c:pt>
                <c:pt idx="35">
                  <c:v>3062</c:v>
                </c:pt>
                <c:pt idx="36">
                  <c:v>2304</c:v>
                </c:pt>
                <c:pt idx="37">
                  <c:v>2120</c:v>
                </c:pt>
                <c:pt idx="38">
                  <c:v>4518</c:v>
                </c:pt>
                <c:pt idx="39">
                  <c:v>5772</c:v>
                </c:pt>
                <c:pt idx="40">
                  <c:v>5790</c:v>
                </c:pt>
                <c:pt idx="41">
                  <c:v>12546</c:v>
                </c:pt>
                <c:pt idx="42">
                  <c:v>1587</c:v>
                </c:pt>
                <c:pt idx="43">
                  <c:v>10896</c:v>
                </c:pt>
                <c:pt idx="44">
                  <c:v>6260</c:v>
                </c:pt>
                <c:pt idx="45">
                  <c:v>3692</c:v>
                </c:pt>
                <c:pt idx="46">
                  <c:v>1316</c:v>
                </c:pt>
                <c:pt idx="47">
                  <c:v>10773</c:v>
                </c:pt>
                <c:pt idx="48">
                  <c:v>184</c:v>
                </c:pt>
                <c:pt idx="49">
                  <c:v>8808</c:v>
                </c:pt>
                <c:pt idx="50">
                  <c:v>3216</c:v>
                </c:pt>
                <c:pt idx="51">
                  <c:v>2428</c:v>
                </c:pt>
                <c:pt idx="52">
                  <c:v>2860</c:v>
                </c:pt>
                <c:pt idx="53">
                  <c:v>1375</c:v>
                </c:pt>
                <c:pt idx="54">
                  <c:v>3987</c:v>
                </c:pt>
                <c:pt idx="55">
                  <c:v>6344</c:v>
                </c:pt>
                <c:pt idx="56">
                  <c:v>2802</c:v>
                </c:pt>
                <c:pt idx="57">
                  <c:v>5565</c:v>
                </c:pt>
                <c:pt idx="58">
                  <c:v>3080</c:v>
                </c:pt>
                <c:pt idx="59">
                  <c:v>10178</c:v>
                </c:pt>
                <c:pt idx="60">
                  <c:v>5732</c:v>
                </c:pt>
                <c:pt idx="61">
                  <c:v>17937</c:v>
                </c:pt>
                <c:pt idx="62">
                  <c:v>2093</c:v>
                </c:pt>
                <c:pt idx="63">
                  <c:v>2708</c:v>
                </c:pt>
                <c:pt idx="64">
                  <c:v>6140</c:v>
                </c:pt>
                <c:pt idx="65">
                  <c:v>4848</c:v>
                </c:pt>
                <c:pt idx="66">
                  <c:v>1904</c:v>
                </c:pt>
                <c:pt idx="67">
                  <c:v>4470</c:v>
                </c:pt>
                <c:pt idx="68">
                  <c:v>2884</c:v>
                </c:pt>
                <c:pt idx="69">
                  <c:v>7656</c:v>
                </c:pt>
                <c:pt idx="70">
                  <c:v>9900</c:v>
                </c:pt>
                <c:pt idx="71">
                  <c:v>3620</c:v>
                </c:pt>
                <c:pt idx="72">
                  <c:v>5424</c:v>
                </c:pt>
                <c:pt idx="73">
                  <c:v>1464</c:v>
                </c:pt>
                <c:pt idx="74">
                  <c:v>3897</c:v>
                </c:pt>
                <c:pt idx="75">
                  <c:v>10794</c:v>
                </c:pt>
                <c:pt idx="76">
                  <c:v>1596</c:v>
                </c:pt>
                <c:pt idx="77">
                  <c:v>10218</c:v>
                </c:pt>
                <c:pt idx="78">
                  <c:v>3577</c:v>
                </c:pt>
                <c:pt idx="79">
                  <c:v>764</c:v>
                </c:pt>
                <c:pt idx="80">
                  <c:v>475</c:v>
                </c:pt>
                <c:pt idx="81">
                  <c:v>10230</c:v>
                </c:pt>
                <c:pt idx="82">
                  <c:v>1993</c:v>
                </c:pt>
                <c:pt idx="83">
                  <c:v>2849</c:v>
                </c:pt>
                <c:pt idx="84">
                  <c:v>1799</c:v>
                </c:pt>
                <c:pt idx="85">
                  <c:v>2860</c:v>
                </c:pt>
                <c:pt idx="86">
                  <c:v>1765</c:v>
                </c:pt>
                <c:pt idx="87">
                  <c:v>11784</c:v>
                </c:pt>
                <c:pt idx="88">
                  <c:v>6512</c:v>
                </c:pt>
                <c:pt idx="89">
                  <c:v>7630</c:v>
                </c:pt>
                <c:pt idx="90">
                  <c:v>4944</c:v>
                </c:pt>
                <c:pt idx="91">
                  <c:v>5929</c:v>
                </c:pt>
                <c:pt idx="92">
                  <c:v>273</c:v>
                </c:pt>
                <c:pt idx="93">
                  <c:v>3111</c:v>
                </c:pt>
                <c:pt idx="94">
                  <c:v>9616</c:v>
                </c:pt>
                <c:pt idx="95">
                  <c:v>10888</c:v>
                </c:pt>
                <c:pt idx="96">
                  <c:v>1757</c:v>
                </c:pt>
                <c:pt idx="97">
                  <c:v>1131</c:v>
                </c:pt>
                <c:pt idx="98">
                  <c:v>4656</c:v>
                </c:pt>
                <c:pt idx="99">
                  <c:v>1362</c:v>
                </c:pt>
              </c:numCache>
            </c:numRef>
          </c:val>
          <c:smooth val="0"/>
          <c:extLst>
            <c:ext xmlns:c16="http://schemas.microsoft.com/office/drawing/2014/chart" uri="{C3380CC4-5D6E-409C-BE32-E72D297353CC}">
              <c16:uniqueId val="{00000000-6A63-4721-A37C-F6AED714F528}"/>
            </c:ext>
          </c:extLst>
        </c:ser>
        <c:dLbls>
          <c:showLegendKey val="0"/>
          <c:showVal val="0"/>
          <c:showCatName val="0"/>
          <c:showSerName val="0"/>
          <c:showPercent val="0"/>
          <c:showBubbleSize val="0"/>
        </c:dLbls>
        <c:smooth val="0"/>
        <c:axId val="424099839"/>
        <c:axId val="424111359"/>
      </c:lineChart>
      <c:catAx>
        <c:axId val="42409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111359"/>
        <c:crosses val="autoZero"/>
        <c:auto val="1"/>
        <c:lblAlgn val="ctr"/>
        <c:lblOffset val="100"/>
        <c:noMultiLvlLbl val="0"/>
      </c:catAx>
      <c:valAx>
        <c:axId val="424111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099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Chart!$H$1</c:f>
              <c:strCache>
                <c:ptCount val="1"/>
                <c:pt idx="0">
                  <c:v>Revenue</c:v>
                </c:pt>
              </c:strCache>
            </c:strRef>
          </c:tx>
          <c:spPr>
            <a:ln w="28575" cap="rnd">
              <a:solidFill>
                <a:schemeClr val="accent1"/>
              </a:solidFill>
              <a:round/>
            </a:ln>
            <a:effectLst/>
          </c:spPr>
          <c:marker>
            <c:symbol val="none"/>
          </c:marker>
          <c:cat>
            <c:strRef>
              <c:f>Chart!$D$2:$D$101</c:f>
              <c:strCache>
                <c:ptCount val="100"/>
                <c:pt idx="0">
                  <c:v>North</c:v>
                </c:pt>
                <c:pt idx="1">
                  <c:v>East</c:v>
                </c:pt>
                <c:pt idx="2">
                  <c:v>North</c:v>
                </c:pt>
                <c:pt idx="3">
                  <c:v>North</c:v>
                </c:pt>
                <c:pt idx="4">
                  <c:v>East</c:v>
                </c:pt>
                <c:pt idx="5">
                  <c:v>East</c:v>
                </c:pt>
                <c:pt idx="6">
                  <c:v>South</c:v>
                </c:pt>
                <c:pt idx="7">
                  <c:v>West</c:v>
                </c:pt>
                <c:pt idx="8">
                  <c:v>West</c:v>
                </c:pt>
                <c:pt idx="9">
                  <c:v>East</c:v>
                </c:pt>
                <c:pt idx="10">
                  <c:v>West</c:v>
                </c:pt>
                <c:pt idx="11">
                  <c:v>North</c:v>
                </c:pt>
                <c:pt idx="12">
                  <c:v>North</c:v>
                </c:pt>
                <c:pt idx="13">
                  <c:v>North</c:v>
                </c:pt>
                <c:pt idx="14">
                  <c:v>East</c:v>
                </c:pt>
                <c:pt idx="15">
                  <c:v>East</c:v>
                </c:pt>
                <c:pt idx="16">
                  <c:v>North</c:v>
                </c:pt>
                <c:pt idx="17">
                  <c:v>West</c:v>
                </c:pt>
                <c:pt idx="18">
                  <c:v>East</c:v>
                </c:pt>
                <c:pt idx="19">
                  <c:v>West</c:v>
                </c:pt>
                <c:pt idx="20">
                  <c:v>East</c:v>
                </c:pt>
                <c:pt idx="21">
                  <c:v>South</c:v>
                </c:pt>
                <c:pt idx="22">
                  <c:v>West</c:v>
                </c:pt>
                <c:pt idx="23">
                  <c:v>South</c:v>
                </c:pt>
                <c:pt idx="24">
                  <c:v>East</c:v>
                </c:pt>
                <c:pt idx="25">
                  <c:v>West</c:v>
                </c:pt>
                <c:pt idx="26">
                  <c:v>North</c:v>
                </c:pt>
                <c:pt idx="27">
                  <c:v>North</c:v>
                </c:pt>
                <c:pt idx="28">
                  <c:v>East</c:v>
                </c:pt>
                <c:pt idx="29">
                  <c:v>East</c:v>
                </c:pt>
                <c:pt idx="30">
                  <c:v>South</c:v>
                </c:pt>
                <c:pt idx="31">
                  <c:v>North</c:v>
                </c:pt>
                <c:pt idx="32">
                  <c:v>North</c:v>
                </c:pt>
                <c:pt idx="33">
                  <c:v>West</c:v>
                </c:pt>
                <c:pt idx="34">
                  <c:v>West</c:v>
                </c:pt>
                <c:pt idx="35">
                  <c:v>North</c:v>
                </c:pt>
                <c:pt idx="36">
                  <c:v>North</c:v>
                </c:pt>
                <c:pt idx="37">
                  <c:v>North</c:v>
                </c:pt>
                <c:pt idx="38">
                  <c:v>North</c:v>
                </c:pt>
                <c:pt idx="39">
                  <c:v>East</c:v>
                </c:pt>
                <c:pt idx="40">
                  <c:v>North</c:v>
                </c:pt>
                <c:pt idx="41">
                  <c:v>West</c:v>
                </c:pt>
                <c:pt idx="42">
                  <c:v>East</c:v>
                </c:pt>
                <c:pt idx="43">
                  <c:v>South</c:v>
                </c:pt>
                <c:pt idx="44">
                  <c:v>East</c:v>
                </c:pt>
                <c:pt idx="45">
                  <c:v>East</c:v>
                </c:pt>
                <c:pt idx="46">
                  <c:v>West</c:v>
                </c:pt>
                <c:pt idx="47">
                  <c:v>North</c:v>
                </c:pt>
                <c:pt idx="48">
                  <c:v>South</c:v>
                </c:pt>
                <c:pt idx="49">
                  <c:v>East</c:v>
                </c:pt>
                <c:pt idx="50">
                  <c:v>North</c:v>
                </c:pt>
                <c:pt idx="51">
                  <c:v>West</c:v>
                </c:pt>
                <c:pt idx="52">
                  <c:v>North</c:v>
                </c:pt>
                <c:pt idx="53">
                  <c:v>North</c:v>
                </c:pt>
                <c:pt idx="54">
                  <c:v>East</c:v>
                </c:pt>
                <c:pt idx="55">
                  <c:v>West</c:v>
                </c:pt>
                <c:pt idx="56">
                  <c:v>West</c:v>
                </c:pt>
                <c:pt idx="57">
                  <c:v>West</c:v>
                </c:pt>
                <c:pt idx="58">
                  <c:v>West</c:v>
                </c:pt>
                <c:pt idx="59">
                  <c:v>East</c:v>
                </c:pt>
                <c:pt idx="60">
                  <c:v>South</c:v>
                </c:pt>
                <c:pt idx="61">
                  <c:v>West</c:v>
                </c:pt>
                <c:pt idx="62">
                  <c:v>South</c:v>
                </c:pt>
                <c:pt idx="63">
                  <c:v>West</c:v>
                </c:pt>
                <c:pt idx="64">
                  <c:v>East</c:v>
                </c:pt>
                <c:pt idx="65">
                  <c:v>South</c:v>
                </c:pt>
                <c:pt idx="66">
                  <c:v>South</c:v>
                </c:pt>
                <c:pt idx="67">
                  <c:v>South</c:v>
                </c:pt>
                <c:pt idx="68">
                  <c:v>South</c:v>
                </c:pt>
                <c:pt idx="69">
                  <c:v>East</c:v>
                </c:pt>
                <c:pt idx="70">
                  <c:v>South</c:v>
                </c:pt>
                <c:pt idx="71">
                  <c:v>North</c:v>
                </c:pt>
                <c:pt idx="72">
                  <c:v>South</c:v>
                </c:pt>
                <c:pt idx="73">
                  <c:v>South</c:v>
                </c:pt>
                <c:pt idx="74">
                  <c:v>West</c:v>
                </c:pt>
                <c:pt idx="75">
                  <c:v>North</c:v>
                </c:pt>
                <c:pt idx="76">
                  <c:v>East</c:v>
                </c:pt>
                <c:pt idx="77">
                  <c:v>North</c:v>
                </c:pt>
                <c:pt idx="78">
                  <c:v>North</c:v>
                </c:pt>
                <c:pt idx="79">
                  <c:v>North</c:v>
                </c:pt>
                <c:pt idx="80">
                  <c:v>West</c:v>
                </c:pt>
                <c:pt idx="81">
                  <c:v>North</c:v>
                </c:pt>
                <c:pt idx="82">
                  <c:v>West</c:v>
                </c:pt>
                <c:pt idx="83">
                  <c:v>East</c:v>
                </c:pt>
                <c:pt idx="84">
                  <c:v>South</c:v>
                </c:pt>
                <c:pt idx="85">
                  <c:v>North</c:v>
                </c:pt>
                <c:pt idx="86">
                  <c:v>South</c:v>
                </c:pt>
                <c:pt idx="87">
                  <c:v>South</c:v>
                </c:pt>
                <c:pt idx="88">
                  <c:v>West</c:v>
                </c:pt>
                <c:pt idx="89">
                  <c:v>West</c:v>
                </c:pt>
                <c:pt idx="90">
                  <c:v>East</c:v>
                </c:pt>
                <c:pt idx="91">
                  <c:v>West</c:v>
                </c:pt>
                <c:pt idx="92">
                  <c:v>South</c:v>
                </c:pt>
                <c:pt idx="93">
                  <c:v>East</c:v>
                </c:pt>
                <c:pt idx="94">
                  <c:v>East</c:v>
                </c:pt>
                <c:pt idx="95">
                  <c:v>South</c:v>
                </c:pt>
                <c:pt idx="96">
                  <c:v>South</c:v>
                </c:pt>
                <c:pt idx="97">
                  <c:v>West</c:v>
                </c:pt>
                <c:pt idx="98">
                  <c:v>West</c:v>
                </c:pt>
                <c:pt idx="99">
                  <c:v>North</c:v>
                </c:pt>
              </c:strCache>
            </c:strRef>
          </c:cat>
          <c:val>
            <c:numRef>
              <c:f>Chart!$H$2:$H$101</c:f>
              <c:numCache>
                <c:formatCode>General</c:formatCode>
                <c:ptCount val="100"/>
                <c:pt idx="0">
                  <c:v>7680</c:v>
                </c:pt>
                <c:pt idx="1">
                  <c:v>7176</c:v>
                </c:pt>
                <c:pt idx="2">
                  <c:v>5754</c:v>
                </c:pt>
                <c:pt idx="3">
                  <c:v>10650</c:v>
                </c:pt>
                <c:pt idx="4">
                  <c:v>3912</c:v>
                </c:pt>
                <c:pt idx="5">
                  <c:v>5495</c:v>
                </c:pt>
                <c:pt idx="6">
                  <c:v>1896</c:v>
                </c:pt>
                <c:pt idx="7">
                  <c:v>7736</c:v>
                </c:pt>
                <c:pt idx="8">
                  <c:v>1198</c:v>
                </c:pt>
                <c:pt idx="9">
                  <c:v>8856</c:v>
                </c:pt>
                <c:pt idx="10">
                  <c:v>6655</c:v>
                </c:pt>
                <c:pt idx="11">
                  <c:v>3390</c:v>
                </c:pt>
                <c:pt idx="12">
                  <c:v>7232</c:v>
                </c:pt>
                <c:pt idx="13">
                  <c:v>1141</c:v>
                </c:pt>
                <c:pt idx="14">
                  <c:v>8598</c:v>
                </c:pt>
                <c:pt idx="15">
                  <c:v>1766</c:v>
                </c:pt>
                <c:pt idx="16">
                  <c:v>18780</c:v>
                </c:pt>
                <c:pt idx="17">
                  <c:v>9927</c:v>
                </c:pt>
                <c:pt idx="18">
                  <c:v>8289</c:v>
                </c:pt>
                <c:pt idx="19">
                  <c:v>3240</c:v>
                </c:pt>
                <c:pt idx="20">
                  <c:v>10584</c:v>
                </c:pt>
                <c:pt idx="21">
                  <c:v>8650</c:v>
                </c:pt>
                <c:pt idx="22">
                  <c:v>5885</c:v>
                </c:pt>
                <c:pt idx="23">
                  <c:v>6216</c:v>
                </c:pt>
                <c:pt idx="24">
                  <c:v>1875</c:v>
                </c:pt>
                <c:pt idx="25">
                  <c:v>3556</c:v>
                </c:pt>
                <c:pt idx="26">
                  <c:v>2037</c:v>
                </c:pt>
                <c:pt idx="27">
                  <c:v>19600</c:v>
                </c:pt>
                <c:pt idx="28">
                  <c:v>2394</c:v>
                </c:pt>
                <c:pt idx="29">
                  <c:v>5835</c:v>
                </c:pt>
                <c:pt idx="30">
                  <c:v>2380</c:v>
                </c:pt>
                <c:pt idx="31">
                  <c:v>4443</c:v>
                </c:pt>
                <c:pt idx="32">
                  <c:v>18400</c:v>
                </c:pt>
                <c:pt idx="33">
                  <c:v>1140</c:v>
                </c:pt>
                <c:pt idx="34">
                  <c:v>2968</c:v>
                </c:pt>
                <c:pt idx="35">
                  <c:v>3062</c:v>
                </c:pt>
                <c:pt idx="36">
                  <c:v>2304</c:v>
                </c:pt>
                <c:pt idx="37">
                  <c:v>2120</c:v>
                </c:pt>
                <c:pt idx="38">
                  <c:v>4518</c:v>
                </c:pt>
                <c:pt idx="39">
                  <c:v>5772</c:v>
                </c:pt>
                <c:pt idx="40">
                  <c:v>5790</c:v>
                </c:pt>
                <c:pt idx="41">
                  <c:v>12546</c:v>
                </c:pt>
                <c:pt idx="42">
                  <c:v>1587</c:v>
                </c:pt>
                <c:pt idx="43">
                  <c:v>10896</c:v>
                </c:pt>
                <c:pt idx="44">
                  <c:v>6260</c:v>
                </c:pt>
                <c:pt idx="45">
                  <c:v>3692</c:v>
                </c:pt>
                <c:pt idx="46">
                  <c:v>1316</c:v>
                </c:pt>
                <c:pt idx="47">
                  <c:v>10773</c:v>
                </c:pt>
                <c:pt idx="48">
                  <c:v>184</c:v>
                </c:pt>
                <c:pt idx="49">
                  <c:v>8808</c:v>
                </c:pt>
                <c:pt idx="50">
                  <c:v>3216</c:v>
                </c:pt>
                <c:pt idx="51">
                  <c:v>2428</c:v>
                </c:pt>
                <c:pt idx="52">
                  <c:v>2860</c:v>
                </c:pt>
                <c:pt idx="53">
                  <c:v>1375</c:v>
                </c:pt>
                <c:pt idx="54">
                  <c:v>3987</c:v>
                </c:pt>
                <c:pt idx="55">
                  <c:v>6344</c:v>
                </c:pt>
                <c:pt idx="56">
                  <c:v>2802</c:v>
                </c:pt>
                <c:pt idx="57">
                  <c:v>5565</c:v>
                </c:pt>
                <c:pt idx="58">
                  <c:v>3080</c:v>
                </c:pt>
                <c:pt idx="59">
                  <c:v>10178</c:v>
                </c:pt>
                <c:pt idx="60">
                  <c:v>5732</c:v>
                </c:pt>
                <c:pt idx="61">
                  <c:v>17937</c:v>
                </c:pt>
                <c:pt idx="62">
                  <c:v>2093</c:v>
                </c:pt>
                <c:pt idx="63">
                  <c:v>2708</c:v>
                </c:pt>
                <c:pt idx="64">
                  <c:v>6140</c:v>
                </c:pt>
                <c:pt idx="65">
                  <c:v>4848</c:v>
                </c:pt>
                <c:pt idx="66">
                  <c:v>1904</c:v>
                </c:pt>
                <c:pt idx="67">
                  <c:v>4470</c:v>
                </c:pt>
                <c:pt idx="68">
                  <c:v>2884</c:v>
                </c:pt>
                <c:pt idx="69">
                  <c:v>7656</c:v>
                </c:pt>
                <c:pt idx="70">
                  <c:v>9900</c:v>
                </c:pt>
                <c:pt idx="71">
                  <c:v>3620</c:v>
                </c:pt>
                <c:pt idx="72">
                  <c:v>5424</c:v>
                </c:pt>
                <c:pt idx="73">
                  <c:v>1464</c:v>
                </c:pt>
                <c:pt idx="74">
                  <c:v>3897</c:v>
                </c:pt>
                <c:pt idx="75">
                  <c:v>10794</c:v>
                </c:pt>
                <c:pt idx="76">
                  <c:v>1596</c:v>
                </c:pt>
                <c:pt idx="77">
                  <c:v>10218</c:v>
                </c:pt>
                <c:pt idx="78">
                  <c:v>3577</c:v>
                </c:pt>
                <c:pt idx="79">
                  <c:v>764</c:v>
                </c:pt>
                <c:pt idx="80">
                  <c:v>475</c:v>
                </c:pt>
                <c:pt idx="81">
                  <c:v>10230</c:v>
                </c:pt>
                <c:pt idx="82">
                  <c:v>1993</c:v>
                </c:pt>
                <c:pt idx="83">
                  <c:v>2849</c:v>
                </c:pt>
                <c:pt idx="84">
                  <c:v>1799</c:v>
                </c:pt>
                <c:pt idx="85">
                  <c:v>2860</c:v>
                </c:pt>
                <c:pt idx="86">
                  <c:v>1765</c:v>
                </c:pt>
                <c:pt idx="87">
                  <c:v>11784</c:v>
                </c:pt>
                <c:pt idx="88">
                  <c:v>6512</c:v>
                </c:pt>
                <c:pt idx="89">
                  <c:v>7630</c:v>
                </c:pt>
                <c:pt idx="90">
                  <c:v>4944</c:v>
                </c:pt>
                <c:pt idx="91">
                  <c:v>5929</c:v>
                </c:pt>
                <c:pt idx="92">
                  <c:v>273</c:v>
                </c:pt>
                <c:pt idx="93">
                  <c:v>3111</c:v>
                </c:pt>
                <c:pt idx="94">
                  <c:v>9616</c:v>
                </c:pt>
                <c:pt idx="95">
                  <c:v>10888</c:v>
                </c:pt>
                <c:pt idx="96">
                  <c:v>1757</c:v>
                </c:pt>
                <c:pt idx="97">
                  <c:v>1131</c:v>
                </c:pt>
                <c:pt idx="98">
                  <c:v>4656</c:v>
                </c:pt>
                <c:pt idx="99">
                  <c:v>1362</c:v>
                </c:pt>
              </c:numCache>
            </c:numRef>
          </c:val>
          <c:smooth val="0"/>
          <c:extLst>
            <c:ext xmlns:c16="http://schemas.microsoft.com/office/drawing/2014/chart" uri="{C3380CC4-5D6E-409C-BE32-E72D297353CC}">
              <c16:uniqueId val="{00000000-5F9F-43B9-BB78-419A8FD8CA7A}"/>
            </c:ext>
          </c:extLst>
        </c:ser>
        <c:dLbls>
          <c:showLegendKey val="0"/>
          <c:showVal val="0"/>
          <c:showCatName val="0"/>
          <c:showSerName val="0"/>
          <c:showPercent val="0"/>
          <c:showBubbleSize val="0"/>
        </c:dLbls>
        <c:smooth val="0"/>
        <c:axId val="424077279"/>
        <c:axId val="424086879"/>
      </c:lineChart>
      <c:catAx>
        <c:axId val="42407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086879"/>
        <c:crosses val="autoZero"/>
        <c:auto val="1"/>
        <c:lblAlgn val="ctr"/>
        <c:lblOffset val="100"/>
        <c:noMultiLvlLbl val="0"/>
      </c:catAx>
      <c:valAx>
        <c:axId val="424086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077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12</xdr:col>
      <xdr:colOff>45720</xdr:colOff>
      <xdr:row>0</xdr:row>
      <xdr:rowOff>0</xdr:rowOff>
    </xdr:from>
    <xdr:to>
      <xdr:col>13</xdr:col>
      <xdr:colOff>388620</xdr:colOff>
      <xdr:row>7</xdr:row>
      <xdr:rowOff>160020</xdr:rowOff>
    </xdr:to>
    <mc:AlternateContent xmlns:mc="http://schemas.openxmlformats.org/markup-compatibility/2006" xmlns:sle15="http://schemas.microsoft.com/office/drawing/2012/slicer">
      <mc:Choice Requires="sle15">
        <xdr:graphicFrame macro="">
          <xdr:nvGraphicFramePr>
            <xdr:cNvPr id="2" name="Region">
              <a:extLst>
                <a:ext uri="{FF2B5EF4-FFF2-40B4-BE49-F238E27FC236}">
                  <a16:creationId xmlns:a16="http://schemas.microsoft.com/office/drawing/2014/main" id="{75A2473F-9D7A-75AF-AAC0-3826D566FC9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871960" y="0"/>
              <a:ext cx="1836420" cy="144018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76200</xdr:colOff>
      <xdr:row>8</xdr:row>
      <xdr:rowOff>83820</xdr:rowOff>
    </xdr:from>
    <xdr:to>
      <xdr:col>13</xdr:col>
      <xdr:colOff>411480</xdr:colOff>
      <xdr:row>21</xdr:row>
      <xdr:rowOff>173355</xdr:rowOff>
    </xdr:to>
    <mc:AlternateContent xmlns:mc="http://schemas.openxmlformats.org/markup-compatibility/2006" xmlns:sle15="http://schemas.microsoft.com/office/drawing/2012/slicer">
      <mc:Choice Requires="sle15">
        <xdr:graphicFrame macro="">
          <xdr:nvGraphicFramePr>
            <xdr:cNvPr id="3" name="Revenue">
              <a:extLst>
                <a:ext uri="{FF2B5EF4-FFF2-40B4-BE49-F238E27FC236}">
                  <a16:creationId xmlns:a16="http://schemas.microsoft.com/office/drawing/2014/main" id="{696F4F23-F7DF-0B0E-EF48-31A9E6213341}"/>
                </a:ext>
              </a:extLst>
            </xdr:cNvPr>
            <xdr:cNvGraphicFramePr/>
          </xdr:nvGraphicFramePr>
          <xdr:xfrm>
            <a:off x="0" y="0"/>
            <a:ext cx="0" cy="0"/>
          </xdr:xfrm>
          <a:graphic>
            <a:graphicData uri="http://schemas.microsoft.com/office/drawing/2010/slicer">
              <sle:slicer xmlns:sle="http://schemas.microsoft.com/office/drawing/2010/slicer" name="Revenue"/>
            </a:graphicData>
          </a:graphic>
        </xdr:graphicFrame>
      </mc:Choice>
      <mc:Fallback xmlns="">
        <xdr:sp macro="" textlink="">
          <xdr:nvSpPr>
            <xdr:cNvPr id="0" name=""/>
            <xdr:cNvSpPr>
              <a:spLocks noTextEdit="1"/>
            </xdr:cNvSpPr>
          </xdr:nvSpPr>
          <xdr:spPr>
            <a:xfrm>
              <a:off x="11902440" y="1546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99060</xdr:colOff>
      <xdr:row>0</xdr:row>
      <xdr:rowOff>30480</xdr:rowOff>
    </xdr:from>
    <xdr:to>
      <xdr:col>9</xdr:col>
      <xdr:colOff>281940</xdr:colOff>
      <xdr:row>13</xdr:row>
      <xdr:rowOff>120015</xdr:rowOff>
    </xdr:to>
    <mc:AlternateContent xmlns:mc="http://schemas.openxmlformats.org/markup-compatibility/2006" xmlns:a14="http://schemas.microsoft.com/office/drawing/2010/main">
      <mc:Choice Requires="a14">
        <xdr:graphicFrame macro="">
          <xdr:nvGraphicFramePr>
            <xdr:cNvPr id="8" name="Salesperson">
              <a:extLst>
                <a:ext uri="{FF2B5EF4-FFF2-40B4-BE49-F238E27FC236}">
                  <a16:creationId xmlns:a16="http://schemas.microsoft.com/office/drawing/2014/main" id="{7A8A868D-0E22-4578-B2FD-A7C6EE82DB3E}"/>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4480560" y="30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10</xdr:col>
      <xdr:colOff>99060</xdr:colOff>
      <xdr:row>0</xdr:row>
      <xdr:rowOff>68581</xdr:rowOff>
    </xdr:from>
    <xdr:to>
      <xdr:col>13</xdr:col>
      <xdr:colOff>83820</xdr:colOff>
      <xdr:row>8</xdr:row>
      <xdr:rowOff>76201</xdr:rowOff>
    </xdr:to>
    <mc:AlternateContent xmlns:mc="http://schemas.openxmlformats.org/markup-compatibility/2006">
      <mc:Choice xmlns:sle15="http://schemas.microsoft.com/office/drawing/2012/slicer" Requires="sle15">
        <xdr:graphicFrame macro="">
          <xdr:nvGraphicFramePr>
            <xdr:cNvPr id="4" name="Region 1">
              <a:extLst>
                <a:ext uri="{FF2B5EF4-FFF2-40B4-BE49-F238E27FC236}">
                  <a16:creationId xmlns:a16="http://schemas.microsoft.com/office/drawing/2014/main" id="{F3DA5058-6B57-3E31-19F6-924659F7754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248900" y="68581"/>
              <a:ext cx="1813560" cy="14706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114300</xdr:colOff>
      <xdr:row>0</xdr:row>
      <xdr:rowOff>38101</xdr:rowOff>
    </xdr:from>
    <xdr:to>
      <xdr:col>16</xdr:col>
      <xdr:colOff>91440</xdr:colOff>
      <xdr:row>10</xdr:row>
      <xdr:rowOff>160021</xdr:rowOff>
    </xdr:to>
    <mc:AlternateContent xmlns:mc="http://schemas.openxmlformats.org/markup-compatibility/2006">
      <mc:Choice xmlns:sle15="http://schemas.microsoft.com/office/drawing/2012/slicer" Requires="sle15">
        <xdr:graphicFrame macro="">
          <xdr:nvGraphicFramePr>
            <xdr:cNvPr id="5" name="Product">
              <a:extLst>
                <a:ext uri="{FF2B5EF4-FFF2-40B4-BE49-F238E27FC236}">
                  <a16:creationId xmlns:a16="http://schemas.microsoft.com/office/drawing/2014/main" id="{6867736A-0AEA-ACCB-AE74-A99210BF520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2092940" y="38101"/>
              <a:ext cx="1805940" cy="195072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10</xdr:col>
      <xdr:colOff>45720</xdr:colOff>
      <xdr:row>12</xdr:row>
      <xdr:rowOff>80010</xdr:rowOff>
    </xdr:from>
    <xdr:to>
      <xdr:col>18</xdr:col>
      <xdr:colOff>502920</xdr:colOff>
      <xdr:row>35</xdr:row>
      <xdr:rowOff>53340</xdr:rowOff>
    </xdr:to>
    <xdr:graphicFrame macro="">
      <xdr:nvGraphicFramePr>
        <xdr:cNvPr id="8" name="Chart 7">
          <a:extLst>
            <a:ext uri="{FF2B5EF4-FFF2-40B4-BE49-F238E27FC236}">
              <a16:creationId xmlns:a16="http://schemas.microsoft.com/office/drawing/2014/main" id="{E52F8597-D07E-F428-F2A6-EDE4DBE089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15240</xdr:colOff>
      <xdr:row>1</xdr:row>
      <xdr:rowOff>64770</xdr:rowOff>
    </xdr:from>
    <xdr:to>
      <xdr:col>26</xdr:col>
      <xdr:colOff>320040</xdr:colOff>
      <xdr:row>16</xdr:row>
      <xdr:rowOff>64770</xdr:rowOff>
    </xdr:to>
    <xdr:graphicFrame macro="">
      <xdr:nvGraphicFramePr>
        <xdr:cNvPr id="10" name="Chart 9">
          <a:extLst>
            <a:ext uri="{FF2B5EF4-FFF2-40B4-BE49-F238E27FC236}">
              <a16:creationId xmlns:a16="http://schemas.microsoft.com/office/drawing/2014/main" id="{70BED17B-2D15-41DB-86BF-F8C6ABB395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la Gracy" refreshedDate="46153.518734259262" createdVersion="8" refreshedVersion="8" minRefreshableVersion="3" recordCount="100" xr:uid="{A906B2E3-CF9F-45E4-8D87-2BC6C3CE18F7}">
  <cacheSource type="worksheet">
    <worksheetSource name="Table1"/>
  </cacheSource>
  <cacheFields count="10">
    <cacheField name="Order_ID" numFmtId="0">
      <sharedItems count="1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haredItems>
    </cacheField>
    <cacheField name="Order_Date" numFmtId="0">
      <sharedItems/>
    </cacheField>
    <cacheField name="Customer_Name" numFmtId="0">
      <sharedItems count="100">
        <s v="Edward Tucker"/>
        <s v="Dr. Michael Smith"/>
        <s v="Donna Frost"/>
        <s v="Nicole Hernandez"/>
        <s v="Keith Hanna"/>
        <s v="Ricky Moore"/>
        <s v="Tammy Vaughn"/>
        <s v="Michael Warner"/>
        <s v="Julie Anderson"/>
        <s v="Carrie Olson"/>
        <s v="Lawrence Dougherty"/>
        <s v="Kyle Johnson"/>
        <s v="Laura Duran"/>
        <s v="Heidi Gill"/>
        <s v="Michael Williams"/>
        <s v="Wendy Walker MD"/>
        <s v="Cindy Leonard"/>
        <s v="Omar Tanner Jr."/>
        <s v="Corey Bowman"/>
        <s v="Molly Simmons"/>
        <s v="Connie Gould"/>
        <s v="Felicia Davis"/>
        <s v="Kimberly Ramos"/>
        <s v="Kelli Harrell"/>
        <s v="Melissa Miller"/>
        <s v="Loretta Howard"/>
        <s v="David Kelly"/>
        <s v="Laura Booth"/>
        <s v="Kelly Berger"/>
        <s v="Angela Hill"/>
        <s v="Alexander Nunez"/>
        <s v="Michele Riggs"/>
        <s v="Michelle Watson"/>
        <s v="Veronica Thompson"/>
        <s v="Megan Petersen"/>
        <s v="Kristi Smith"/>
        <s v="Joshua Stewart"/>
        <s v="Jason Fisher"/>
        <s v="Rhonda Hebert"/>
        <s v="Mark Harvey"/>
        <s v="Paula Mcintosh"/>
        <s v="Lynn Hammond"/>
        <s v="Joel Cowan"/>
        <s v="Brian Walker"/>
        <s v="Maria Santos"/>
        <s v="April Brown"/>
        <s v="Amy Hunter"/>
        <s v="Ashlee Moore"/>
        <s v="Elizabeth Smith"/>
        <s v="Shannon Miller"/>
        <s v="Tara Davis"/>
        <s v="Samantha Sherman"/>
        <s v="Benjamin Phillips"/>
        <s v="Cameron Murillo"/>
        <s v="Destiny Warner"/>
        <s v="Scott Davis"/>
        <s v="John Rogers"/>
        <s v="Crystal Hunt"/>
        <s v="Jonathan Ayala"/>
        <s v="Mathew Perry"/>
        <s v="Katelyn Dickerson"/>
        <s v="Bethany Patterson"/>
        <s v="Jennifer Kane"/>
        <s v="Derek Carter"/>
        <s v="Kristie Wilson"/>
        <s v="Bryan Moran"/>
        <s v="Emily Gomez"/>
        <s v="Jason Harding"/>
        <s v="Devin Simmons"/>
        <s v="Robert Reynolds"/>
        <s v="Evelyn Perry"/>
        <s v="Erica Welch"/>
        <s v="Alexandra Harrison"/>
        <s v="Nathan Brown"/>
        <s v="Jeremy Crawford"/>
        <s v="Amy Rodriguez"/>
        <s v="Mary Rodriguez"/>
        <s v="Virginia Lucas"/>
        <s v="Brandy Buchanan"/>
        <s v="Robin Hubbard"/>
        <s v="Jennifer Adams"/>
        <s v="Mr. Brian Taylor"/>
        <s v="Alison Rhodes"/>
        <s v="Justin Brown"/>
        <s v="Mary May"/>
        <s v="Thomas Benson"/>
        <s v="Mr. Caleb Peterson DDS"/>
        <s v="David Vasquez"/>
        <s v="Casey Morrison"/>
        <s v="Charles Phelps DVM"/>
        <s v="Jeffery Brown"/>
        <s v="Dennis Smith"/>
        <s v="Alex Glass"/>
        <s v="Johnny Padilla"/>
        <s v="Scott Willis"/>
        <s v="Denise Juarez"/>
        <s v="Jill James"/>
        <s v="Tracy Johnson"/>
        <s v="Thomas Smith"/>
        <s v="Dawn Gaines"/>
      </sharedItems>
    </cacheField>
    <cacheField name="Region" numFmtId="0">
      <sharedItems count="4">
        <s v="North"/>
        <s v="East"/>
        <s v="South"/>
        <s v="West"/>
      </sharedItems>
    </cacheField>
    <cacheField name="Product" numFmtId="0">
      <sharedItems count="6">
        <s v="Laptop"/>
        <s v="Headphones"/>
        <s v="Keyboard"/>
        <s v="Monitor"/>
        <s v="Tablet"/>
        <s v="Mobile"/>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183" maxValue="1993"/>
    </cacheField>
    <cacheField name="Revenue" numFmtId="0">
      <sharedItems containsSemiMixedTypes="0" containsString="0" containsNumber="1" containsInteger="1" minValue="184" maxValue="19600" count="99">
        <n v="7680"/>
        <n v="7176"/>
        <n v="5754"/>
        <n v="10650"/>
        <n v="3912"/>
        <n v="5495"/>
        <n v="1896"/>
        <n v="7736"/>
        <n v="1198"/>
        <n v="8856"/>
        <n v="6655"/>
        <n v="3390"/>
        <n v="7232"/>
        <n v="1141"/>
        <n v="8598"/>
        <n v="1766"/>
        <n v="18780"/>
        <n v="9927"/>
        <n v="8289"/>
        <n v="3240"/>
        <n v="10584"/>
        <n v="8650"/>
        <n v="5885"/>
        <n v="6216"/>
        <n v="1875"/>
        <n v="3556"/>
        <n v="2037"/>
        <n v="19600"/>
        <n v="2394"/>
        <n v="5835"/>
        <n v="2380"/>
        <n v="4443"/>
        <n v="18400"/>
        <n v="1140"/>
        <n v="2968"/>
        <n v="3062"/>
        <n v="2304"/>
        <n v="2120"/>
        <n v="4518"/>
        <n v="5772"/>
        <n v="5790"/>
        <n v="12546"/>
        <n v="1587"/>
        <n v="10896"/>
        <n v="6260"/>
        <n v="3692"/>
        <n v="1316"/>
        <n v="10773"/>
        <n v="184"/>
        <n v="8808"/>
        <n v="3216"/>
        <n v="2428"/>
        <n v="2860"/>
        <n v="1375"/>
        <n v="3987"/>
        <n v="6344"/>
        <n v="2802"/>
        <n v="5565"/>
        <n v="3080"/>
        <n v="10178"/>
        <n v="5732"/>
        <n v="17937"/>
        <n v="2093"/>
        <n v="2708"/>
        <n v="6140"/>
        <n v="4848"/>
        <n v="1904"/>
        <n v="4470"/>
        <n v="2884"/>
        <n v="7656"/>
        <n v="9900"/>
        <n v="3620"/>
        <n v="5424"/>
        <n v="1464"/>
        <n v="3897"/>
        <n v="10794"/>
        <n v="1596"/>
        <n v="10218"/>
        <n v="3577"/>
        <n v="764"/>
        <n v="475"/>
        <n v="10230"/>
        <n v="1993"/>
        <n v="2849"/>
        <n v="1799"/>
        <n v="1765"/>
        <n v="11784"/>
        <n v="6512"/>
        <n v="7630"/>
        <n v="4944"/>
        <n v="5929"/>
        <n v="273"/>
        <n v="3111"/>
        <n v="9616"/>
        <n v="10888"/>
        <n v="1757"/>
        <n v="1131"/>
        <n v="4656"/>
        <n v="1362"/>
      </sharedItems>
    </cacheField>
    <cacheField name="Salesperson" numFmtId="0">
      <sharedItems count="6">
        <s v="Kiran"/>
        <s v="Meena"/>
        <s v="Priya"/>
        <s v="Arun"/>
        <s v="David"/>
        <s v="John"/>
      </sharedItems>
    </cacheField>
    <cacheField name="Payment_Method" numFmtId="0">
      <sharedItems count="4">
        <s v="Card"/>
        <s v="UPI"/>
        <s v="Cash"/>
        <s v="Net Banking"/>
      </sharedItems>
    </cacheField>
  </cacheFields>
  <extLst>
    <ext xmlns:x14="http://schemas.microsoft.com/office/spreadsheetml/2009/9/main" uri="{725AE2AE-9491-48be-B2B4-4EB974FC3084}">
      <x14:pivotCacheDefinition pivotCacheId="12037420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2025-09-04"/>
    <x v="0"/>
    <x v="0"/>
    <x v="0"/>
    <n v="8"/>
    <n v="960"/>
    <x v="0"/>
    <x v="0"/>
    <x v="0"/>
  </r>
  <r>
    <x v="1"/>
    <s v="2025-07-26"/>
    <x v="1"/>
    <x v="1"/>
    <x v="0"/>
    <n v="8"/>
    <n v="897"/>
    <x v="1"/>
    <x v="1"/>
    <x v="1"/>
  </r>
  <r>
    <x v="2"/>
    <s v="2025-10-05"/>
    <x v="2"/>
    <x v="0"/>
    <x v="1"/>
    <n v="6"/>
    <n v="959"/>
    <x v="2"/>
    <x v="1"/>
    <x v="2"/>
  </r>
  <r>
    <x v="3"/>
    <s v="2025-10-03"/>
    <x v="3"/>
    <x v="0"/>
    <x v="2"/>
    <n v="10"/>
    <n v="1065"/>
    <x v="3"/>
    <x v="1"/>
    <x v="2"/>
  </r>
  <r>
    <x v="4"/>
    <s v="2025-04-17"/>
    <x v="4"/>
    <x v="1"/>
    <x v="2"/>
    <n v="4"/>
    <n v="978"/>
    <x v="4"/>
    <x v="2"/>
    <x v="0"/>
  </r>
  <r>
    <x v="5"/>
    <s v="2025-08-26"/>
    <x v="5"/>
    <x v="1"/>
    <x v="0"/>
    <n v="7"/>
    <n v="785"/>
    <x v="5"/>
    <x v="3"/>
    <x v="3"/>
  </r>
  <r>
    <x v="6"/>
    <s v="2025-09-05"/>
    <x v="6"/>
    <x v="2"/>
    <x v="3"/>
    <n v="4"/>
    <n v="474"/>
    <x v="6"/>
    <x v="0"/>
    <x v="0"/>
  </r>
  <r>
    <x v="7"/>
    <s v="2025-12-12"/>
    <x v="7"/>
    <x v="3"/>
    <x v="0"/>
    <n v="4"/>
    <n v="1934"/>
    <x v="7"/>
    <x v="0"/>
    <x v="3"/>
  </r>
  <r>
    <x v="8"/>
    <s v="2025-09-24"/>
    <x v="8"/>
    <x v="3"/>
    <x v="2"/>
    <n v="2"/>
    <n v="599"/>
    <x v="8"/>
    <x v="4"/>
    <x v="2"/>
  </r>
  <r>
    <x v="9"/>
    <s v="2025-05-30"/>
    <x v="9"/>
    <x v="1"/>
    <x v="2"/>
    <n v="6"/>
    <n v="1476"/>
    <x v="9"/>
    <x v="0"/>
    <x v="3"/>
  </r>
  <r>
    <x v="10"/>
    <s v="2025-05-14"/>
    <x v="10"/>
    <x v="3"/>
    <x v="4"/>
    <n v="5"/>
    <n v="1331"/>
    <x v="10"/>
    <x v="2"/>
    <x v="2"/>
  </r>
  <r>
    <x v="11"/>
    <s v="2025-05-11"/>
    <x v="11"/>
    <x v="0"/>
    <x v="0"/>
    <n v="5"/>
    <n v="678"/>
    <x v="11"/>
    <x v="2"/>
    <x v="2"/>
  </r>
  <r>
    <x v="12"/>
    <s v="2025-05-23"/>
    <x v="12"/>
    <x v="0"/>
    <x v="4"/>
    <n v="4"/>
    <n v="1808"/>
    <x v="12"/>
    <x v="5"/>
    <x v="1"/>
  </r>
  <r>
    <x v="13"/>
    <s v="2025-09-20"/>
    <x v="13"/>
    <x v="0"/>
    <x v="3"/>
    <n v="1"/>
    <n v="1141"/>
    <x v="13"/>
    <x v="5"/>
    <x v="2"/>
  </r>
  <r>
    <x v="14"/>
    <s v="2025-11-23"/>
    <x v="14"/>
    <x v="1"/>
    <x v="2"/>
    <n v="6"/>
    <n v="1433"/>
    <x v="14"/>
    <x v="0"/>
    <x v="2"/>
  </r>
  <r>
    <x v="15"/>
    <s v="2025-09-19"/>
    <x v="15"/>
    <x v="1"/>
    <x v="0"/>
    <n v="1"/>
    <n v="1766"/>
    <x v="15"/>
    <x v="3"/>
    <x v="1"/>
  </r>
  <r>
    <x v="16"/>
    <s v="2025-11-12"/>
    <x v="16"/>
    <x v="0"/>
    <x v="0"/>
    <n v="10"/>
    <n v="1878"/>
    <x v="16"/>
    <x v="1"/>
    <x v="1"/>
  </r>
  <r>
    <x v="17"/>
    <s v="2025-04-18"/>
    <x v="17"/>
    <x v="3"/>
    <x v="0"/>
    <n v="9"/>
    <n v="1103"/>
    <x v="17"/>
    <x v="4"/>
    <x v="3"/>
  </r>
  <r>
    <x v="18"/>
    <s v="2025-11-09"/>
    <x v="18"/>
    <x v="1"/>
    <x v="5"/>
    <n v="9"/>
    <n v="921"/>
    <x v="18"/>
    <x v="4"/>
    <x v="3"/>
  </r>
  <r>
    <x v="19"/>
    <s v="2025-05-06"/>
    <x v="19"/>
    <x v="3"/>
    <x v="1"/>
    <n v="3"/>
    <n v="1080"/>
    <x v="19"/>
    <x v="2"/>
    <x v="3"/>
  </r>
  <r>
    <x v="20"/>
    <s v="2025-12-11"/>
    <x v="20"/>
    <x v="1"/>
    <x v="2"/>
    <n v="6"/>
    <n v="1764"/>
    <x v="20"/>
    <x v="2"/>
    <x v="3"/>
  </r>
  <r>
    <x v="21"/>
    <s v="2025-05-23"/>
    <x v="21"/>
    <x v="2"/>
    <x v="0"/>
    <n v="10"/>
    <n v="865"/>
    <x v="21"/>
    <x v="5"/>
    <x v="0"/>
  </r>
  <r>
    <x v="22"/>
    <s v="2025-11-19"/>
    <x v="22"/>
    <x v="3"/>
    <x v="4"/>
    <n v="5"/>
    <n v="1177"/>
    <x v="22"/>
    <x v="0"/>
    <x v="3"/>
  </r>
  <r>
    <x v="23"/>
    <s v="2025-08-16"/>
    <x v="23"/>
    <x v="2"/>
    <x v="2"/>
    <n v="7"/>
    <n v="888"/>
    <x v="23"/>
    <x v="5"/>
    <x v="0"/>
  </r>
  <r>
    <x v="24"/>
    <s v="2025-10-06"/>
    <x v="24"/>
    <x v="1"/>
    <x v="0"/>
    <n v="1"/>
    <n v="1875"/>
    <x v="24"/>
    <x v="3"/>
    <x v="1"/>
  </r>
  <r>
    <x v="25"/>
    <s v="2025-01-15"/>
    <x v="25"/>
    <x v="3"/>
    <x v="2"/>
    <n v="2"/>
    <n v="1778"/>
    <x v="25"/>
    <x v="3"/>
    <x v="1"/>
  </r>
  <r>
    <x v="26"/>
    <s v="2025-01-08"/>
    <x v="26"/>
    <x v="0"/>
    <x v="0"/>
    <n v="7"/>
    <n v="291"/>
    <x v="26"/>
    <x v="0"/>
    <x v="3"/>
  </r>
  <r>
    <x v="27"/>
    <s v="2025-10-29"/>
    <x v="27"/>
    <x v="0"/>
    <x v="2"/>
    <n v="10"/>
    <n v="1960"/>
    <x v="27"/>
    <x v="4"/>
    <x v="1"/>
  </r>
  <r>
    <x v="28"/>
    <s v="2025-07-18"/>
    <x v="28"/>
    <x v="1"/>
    <x v="1"/>
    <n v="3"/>
    <n v="798"/>
    <x v="28"/>
    <x v="0"/>
    <x v="0"/>
  </r>
  <r>
    <x v="29"/>
    <s v="2025-11-05"/>
    <x v="29"/>
    <x v="1"/>
    <x v="1"/>
    <n v="3"/>
    <n v="1945"/>
    <x v="29"/>
    <x v="1"/>
    <x v="0"/>
  </r>
  <r>
    <x v="30"/>
    <s v="2025-09-14"/>
    <x v="30"/>
    <x v="2"/>
    <x v="1"/>
    <n v="2"/>
    <n v="1190"/>
    <x v="30"/>
    <x v="2"/>
    <x v="0"/>
  </r>
  <r>
    <x v="31"/>
    <s v="2025-08-22"/>
    <x v="31"/>
    <x v="0"/>
    <x v="1"/>
    <n v="3"/>
    <n v="1481"/>
    <x v="31"/>
    <x v="3"/>
    <x v="1"/>
  </r>
  <r>
    <x v="32"/>
    <s v="2025-07-11"/>
    <x v="32"/>
    <x v="0"/>
    <x v="4"/>
    <n v="10"/>
    <n v="1840"/>
    <x v="32"/>
    <x v="3"/>
    <x v="0"/>
  </r>
  <r>
    <x v="33"/>
    <s v="2025-09-07"/>
    <x v="33"/>
    <x v="3"/>
    <x v="5"/>
    <n v="4"/>
    <n v="285"/>
    <x v="33"/>
    <x v="1"/>
    <x v="1"/>
  </r>
  <r>
    <x v="34"/>
    <s v="2025-12-31"/>
    <x v="34"/>
    <x v="3"/>
    <x v="2"/>
    <n v="7"/>
    <n v="424"/>
    <x v="34"/>
    <x v="3"/>
    <x v="3"/>
  </r>
  <r>
    <x v="35"/>
    <s v="2025-10-16"/>
    <x v="35"/>
    <x v="0"/>
    <x v="5"/>
    <n v="2"/>
    <n v="1531"/>
    <x v="35"/>
    <x v="4"/>
    <x v="2"/>
  </r>
  <r>
    <x v="36"/>
    <s v="2025-08-14"/>
    <x v="36"/>
    <x v="0"/>
    <x v="3"/>
    <n v="9"/>
    <n v="256"/>
    <x v="36"/>
    <x v="0"/>
    <x v="3"/>
  </r>
  <r>
    <x v="37"/>
    <s v="2025-09-11"/>
    <x v="37"/>
    <x v="0"/>
    <x v="3"/>
    <n v="10"/>
    <n v="212"/>
    <x v="37"/>
    <x v="3"/>
    <x v="2"/>
  </r>
  <r>
    <x v="38"/>
    <s v="2025-09-26"/>
    <x v="38"/>
    <x v="0"/>
    <x v="2"/>
    <n v="6"/>
    <n v="753"/>
    <x v="38"/>
    <x v="5"/>
    <x v="0"/>
  </r>
  <r>
    <x v="39"/>
    <s v="2025-11-08"/>
    <x v="39"/>
    <x v="1"/>
    <x v="2"/>
    <n v="4"/>
    <n v="1443"/>
    <x v="39"/>
    <x v="1"/>
    <x v="0"/>
  </r>
  <r>
    <x v="40"/>
    <s v="2025-10-04"/>
    <x v="40"/>
    <x v="0"/>
    <x v="2"/>
    <n v="3"/>
    <n v="1930"/>
    <x v="40"/>
    <x v="3"/>
    <x v="0"/>
  </r>
  <r>
    <x v="41"/>
    <s v="2025-09-14"/>
    <x v="41"/>
    <x v="3"/>
    <x v="2"/>
    <n v="9"/>
    <n v="1394"/>
    <x v="41"/>
    <x v="4"/>
    <x v="1"/>
  </r>
  <r>
    <x v="42"/>
    <s v="2025-10-21"/>
    <x v="42"/>
    <x v="1"/>
    <x v="2"/>
    <n v="3"/>
    <n v="529"/>
    <x v="42"/>
    <x v="0"/>
    <x v="2"/>
  </r>
  <r>
    <x v="43"/>
    <s v="2025-02-28"/>
    <x v="43"/>
    <x v="2"/>
    <x v="1"/>
    <n v="6"/>
    <n v="1816"/>
    <x v="43"/>
    <x v="0"/>
    <x v="1"/>
  </r>
  <r>
    <x v="44"/>
    <s v="2025-09-01"/>
    <x v="44"/>
    <x v="1"/>
    <x v="0"/>
    <n v="5"/>
    <n v="1252"/>
    <x v="44"/>
    <x v="5"/>
    <x v="0"/>
  </r>
  <r>
    <x v="45"/>
    <s v="2025-05-15"/>
    <x v="45"/>
    <x v="1"/>
    <x v="5"/>
    <n v="2"/>
    <n v="1846"/>
    <x v="45"/>
    <x v="2"/>
    <x v="3"/>
  </r>
  <r>
    <x v="46"/>
    <s v="2025-09-03"/>
    <x v="46"/>
    <x v="3"/>
    <x v="5"/>
    <n v="1"/>
    <n v="1316"/>
    <x v="46"/>
    <x v="1"/>
    <x v="0"/>
  </r>
  <r>
    <x v="47"/>
    <s v="2025-05-06"/>
    <x v="47"/>
    <x v="0"/>
    <x v="2"/>
    <n v="7"/>
    <n v="1539"/>
    <x v="47"/>
    <x v="0"/>
    <x v="3"/>
  </r>
  <r>
    <x v="48"/>
    <s v="2025-04-10"/>
    <x v="48"/>
    <x v="2"/>
    <x v="0"/>
    <n v="1"/>
    <n v="184"/>
    <x v="48"/>
    <x v="2"/>
    <x v="0"/>
  </r>
  <r>
    <x v="49"/>
    <s v="2025-02-26"/>
    <x v="49"/>
    <x v="1"/>
    <x v="3"/>
    <n v="6"/>
    <n v="1468"/>
    <x v="49"/>
    <x v="2"/>
    <x v="0"/>
  </r>
  <r>
    <x v="50"/>
    <s v="2025-11-20"/>
    <x v="50"/>
    <x v="0"/>
    <x v="4"/>
    <n v="6"/>
    <n v="536"/>
    <x v="50"/>
    <x v="3"/>
    <x v="1"/>
  </r>
  <r>
    <x v="51"/>
    <s v="2025-03-15"/>
    <x v="51"/>
    <x v="3"/>
    <x v="1"/>
    <n v="2"/>
    <n v="1214"/>
    <x v="51"/>
    <x v="2"/>
    <x v="1"/>
  </r>
  <r>
    <x v="52"/>
    <s v="2025-11-03"/>
    <x v="52"/>
    <x v="0"/>
    <x v="4"/>
    <n v="5"/>
    <n v="572"/>
    <x v="52"/>
    <x v="5"/>
    <x v="0"/>
  </r>
  <r>
    <x v="53"/>
    <s v="2025-07-25"/>
    <x v="53"/>
    <x v="0"/>
    <x v="1"/>
    <n v="5"/>
    <n v="275"/>
    <x v="53"/>
    <x v="4"/>
    <x v="1"/>
  </r>
  <r>
    <x v="54"/>
    <s v="2025-08-01"/>
    <x v="54"/>
    <x v="1"/>
    <x v="5"/>
    <n v="3"/>
    <n v="1329"/>
    <x v="54"/>
    <x v="2"/>
    <x v="1"/>
  </r>
  <r>
    <x v="55"/>
    <s v="2025-10-03"/>
    <x v="55"/>
    <x v="3"/>
    <x v="1"/>
    <n v="4"/>
    <n v="1586"/>
    <x v="55"/>
    <x v="2"/>
    <x v="2"/>
  </r>
  <r>
    <x v="56"/>
    <s v="2025-12-23"/>
    <x v="56"/>
    <x v="3"/>
    <x v="0"/>
    <n v="6"/>
    <n v="467"/>
    <x v="56"/>
    <x v="2"/>
    <x v="0"/>
  </r>
  <r>
    <x v="57"/>
    <s v="2025-03-07"/>
    <x v="57"/>
    <x v="3"/>
    <x v="5"/>
    <n v="5"/>
    <n v="1113"/>
    <x v="57"/>
    <x v="0"/>
    <x v="3"/>
  </r>
  <r>
    <x v="58"/>
    <s v="2025-02-21"/>
    <x v="58"/>
    <x v="3"/>
    <x v="0"/>
    <n v="2"/>
    <n v="1540"/>
    <x v="58"/>
    <x v="1"/>
    <x v="2"/>
  </r>
  <r>
    <x v="59"/>
    <s v="2025-11-22"/>
    <x v="59"/>
    <x v="1"/>
    <x v="1"/>
    <n v="7"/>
    <n v="1454"/>
    <x v="59"/>
    <x v="3"/>
    <x v="0"/>
  </r>
  <r>
    <x v="60"/>
    <s v="2025-04-08"/>
    <x v="60"/>
    <x v="2"/>
    <x v="3"/>
    <n v="4"/>
    <n v="1433"/>
    <x v="60"/>
    <x v="0"/>
    <x v="3"/>
  </r>
  <r>
    <x v="61"/>
    <s v="2025-01-23"/>
    <x v="61"/>
    <x v="3"/>
    <x v="3"/>
    <n v="9"/>
    <n v="1993"/>
    <x v="61"/>
    <x v="1"/>
    <x v="3"/>
  </r>
  <r>
    <x v="62"/>
    <s v="2025-05-28"/>
    <x v="62"/>
    <x v="2"/>
    <x v="3"/>
    <n v="7"/>
    <n v="299"/>
    <x v="62"/>
    <x v="4"/>
    <x v="0"/>
  </r>
  <r>
    <x v="63"/>
    <s v="2025-08-02"/>
    <x v="63"/>
    <x v="3"/>
    <x v="1"/>
    <n v="2"/>
    <n v="1354"/>
    <x v="63"/>
    <x v="3"/>
    <x v="2"/>
  </r>
  <r>
    <x v="64"/>
    <s v="2025-11-27"/>
    <x v="64"/>
    <x v="1"/>
    <x v="3"/>
    <n v="5"/>
    <n v="1228"/>
    <x v="64"/>
    <x v="1"/>
    <x v="0"/>
  </r>
  <r>
    <x v="65"/>
    <s v="2025-03-23"/>
    <x v="65"/>
    <x v="2"/>
    <x v="3"/>
    <n v="3"/>
    <n v="1616"/>
    <x v="65"/>
    <x v="4"/>
    <x v="3"/>
  </r>
  <r>
    <x v="66"/>
    <s v="2025-06-23"/>
    <x v="66"/>
    <x v="2"/>
    <x v="2"/>
    <n v="2"/>
    <n v="952"/>
    <x v="66"/>
    <x v="1"/>
    <x v="2"/>
  </r>
  <r>
    <x v="67"/>
    <s v="2025-12-05"/>
    <x v="67"/>
    <x v="2"/>
    <x v="1"/>
    <n v="10"/>
    <n v="447"/>
    <x v="67"/>
    <x v="5"/>
    <x v="2"/>
  </r>
  <r>
    <x v="68"/>
    <s v="2025-10-27"/>
    <x v="68"/>
    <x v="2"/>
    <x v="5"/>
    <n v="7"/>
    <n v="412"/>
    <x v="68"/>
    <x v="3"/>
    <x v="3"/>
  </r>
  <r>
    <x v="69"/>
    <s v="2025-12-04"/>
    <x v="69"/>
    <x v="1"/>
    <x v="1"/>
    <n v="6"/>
    <n v="1276"/>
    <x v="69"/>
    <x v="4"/>
    <x v="1"/>
  </r>
  <r>
    <x v="70"/>
    <s v="2025-01-25"/>
    <x v="70"/>
    <x v="2"/>
    <x v="4"/>
    <n v="9"/>
    <n v="1100"/>
    <x v="70"/>
    <x v="3"/>
    <x v="1"/>
  </r>
  <r>
    <x v="71"/>
    <s v="2025-04-20"/>
    <x v="71"/>
    <x v="0"/>
    <x v="4"/>
    <n v="2"/>
    <n v="1810"/>
    <x v="71"/>
    <x v="2"/>
    <x v="2"/>
  </r>
  <r>
    <x v="72"/>
    <s v="2025-10-17"/>
    <x v="72"/>
    <x v="2"/>
    <x v="5"/>
    <n v="8"/>
    <n v="678"/>
    <x v="72"/>
    <x v="4"/>
    <x v="2"/>
  </r>
  <r>
    <x v="73"/>
    <s v="2025-06-05"/>
    <x v="73"/>
    <x v="2"/>
    <x v="0"/>
    <n v="8"/>
    <n v="183"/>
    <x v="73"/>
    <x v="0"/>
    <x v="0"/>
  </r>
  <r>
    <x v="74"/>
    <s v="2025-11-24"/>
    <x v="74"/>
    <x v="3"/>
    <x v="1"/>
    <n v="9"/>
    <n v="433"/>
    <x v="74"/>
    <x v="1"/>
    <x v="3"/>
  </r>
  <r>
    <x v="75"/>
    <s v="2025-06-18"/>
    <x v="75"/>
    <x v="0"/>
    <x v="0"/>
    <n v="6"/>
    <n v="1799"/>
    <x v="75"/>
    <x v="5"/>
    <x v="1"/>
  </r>
  <r>
    <x v="76"/>
    <s v="2025-03-18"/>
    <x v="76"/>
    <x v="1"/>
    <x v="2"/>
    <n v="6"/>
    <n v="266"/>
    <x v="76"/>
    <x v="5"/>
    <x v="1"/>
  </r>
  <r>
    <x v="77"/>
    <s v="2025-11-24"/>
    <x v="77"/>
    <x v="0"/>
    <x v="5"/>
    <n v="6"/>
    <n v="1703"/>
    <x v="77"/>
    <x v="1"/>
    <x v="1"/>
  </r>
  <r>
    <x v="78"/>
    <s v="2025-04-09"/>
    <x v="78"/>
    <x v="0"/>
    <x v="5"/>
    <n v="7"/>
    <n v="511"/>
    <x v="78"/>
    <x v="5"/>
    <x v="3"/>
  </r>
  <r>
    <x v="79"/>
    <s v="2025-06-16"/>
    <x v="79"/>
    <x v="0"/>
    <x v="5"/>
    <n v="2"/>
    <n v="382"/>
    <x v="79"/>
    <x v="0"/>
    <x v="3"/>
  </r>
  <r>
    <x v="80"/>
    <s v="2025-03-04"/>
    <x v="80"/>
    <x v="3"/>
    <x v="3"/>
    <n v="1"/>
    <n v="475"/>
    <x v="80"/>
    <x v="5"/>
    <x v="3"/>
  </r>
  <r>
    <x v="81"/>
    <s v="2025-04-13"/>
    <x v="81"/>
    <x v="0"/>
    <x v="4"/>
    <n v="10"/>
    <n v="1023"/>
    <x v="81"/>
    <x v="5"/>
    <x v="0"/>
  </r>
  <r>
    <x v="82"/>
    <s v="2025-11-04"/>
    <x v="82"/>
    <x v="3"/>
    <x v="1"/>
    <n v="1"/>
    <n v="1993"/>
    <x v="82"/>
    <x v="2"/>
    <x v="1"/>
  </r>
  <r>
    <x v="83"/>
    <s v="2025-07-25"/>
    <x v="83"/>
    <x v="1"/>
    <x v="4"/>
    <n v="7"/>
    <n v="407"/>
    <x v="83"/>
    <x v="3"/>
    <x v="2"/>
  </r>
  <r>
    <x v="84"/>
    <s v="2025-11-15"/>
    <x v="84"/>
    <x v="2"/>
    <x v="2"/>
    <n v="7"/>
    <n v="257"/>
    <x v="84"/>
    <x v="2"/>
    <x v="2"/>
  </r>
  <r>
    <x v="85"/>
    <s v="2025-08-07"/>
    <x v="85"/>
    <x v="0"/>
    <x v="5"/>
    <n v="10"/>
    <n v="286"/>
    <x v="52"/>
    <x v="1"/>
    <x v="2"/>
  </r>
  <r>
    <x v="86"/>
    <s v="2025-03-14"/>
    <x v="86"/>
    <x v="2"/>
    <x v="1"/>
    <n v="1"/>
    <n v="1765"/>
    <x v="85"/>
    <x v="3"/>
    <x v="3"/>
  </r>
  <r>
    <x v="87"/>
    <s v="2025-05-03"/>
    <x v="87"/>
    <x v="2"/>
    <x v="3"/>
    <n v="6"/>
    <n v="1964"/>
    <x v="86"/>
    <x v="5"/>
    <x v="2"/>
  </r>
  <r>
    <x v="88"/>
    <s v="2025-08-09"/>
    <x v="88"/>
    <x v="3"/>
    <x v="5"/>
    <n v="4"/>
    <n v="1628"/>
    <x v="87"/>
    <x v="2"/>
    <x v="1"/>
  </r>
  <r>
    <x v="89"/>
    <s v="2025-04-17"/>
    <x v="89"/>
    <x v="3"/>
    <x v="0"/>
    <n v="5"/>
    <n v="1526"/>
    <x v="88"/>
    <x v="5"/>
    <x v="0"/>
  </r>
  <r>
    <x v="90"/>
    <s v="2025-09-18"/>
    <x v="90"/>
    <x v="1"/>
    <x v="4"/>
    <n v="4"/>
    <n v="1236"/>
    <x v="89"/>
    <x v="1"/>
    <x v="0"/>
  </r>
  <r>
    <x v="91"/>
    <s v="2025-01-22"/>
    <x v="91"/>
    <x v="3"/>
    <x v="0"/>
    <n v="7"/>
    <n v="847"/>
    <x v="90"/>
    <x v="4"/>
    <x v="0"/>
  </r>
  <r>
    <x v="92"/>
    <s v="2025-11-15"/>
    <x v="92"/>
    <x v="2"/>
    <x v="4"/>
    <n v="1"/>
    <n v="273"/>
    <x v="91"/>
    <x v="2"/>
    <x v="0"/>
  </r>
  <r>
    <x v="93"/>
    <s v="2025-01-02"/>
    <x v="93"/>
    <x v="1"/>
    <x v="1"/>
    <n v="3"/>
    <n v="1037"/>
    <x v="92"/>
    <x v="1"/>
    <x v="1"/>
  </r>
  <r>
    <x v="94"/>
    <s v="2025-12-02"/>
    <x v="94"/>
    <x v="1"/>
    <x v="2"/>
    <n v="8"/>
    <n v="1202"/>
    <x v="93"/>
    <x v="5"/>
    <x v="0"/>
  </r>
  <r>
    <x v="95"/>
    <s v="2025-07-13"/>
    <x v="95"/>
    <x v="2"/>
    <x v="4"/>
    <n v="8"/>
    <n v="1361"/>
    <x v="94"/>
    <x v="4"/>
    <x v="0"/>
  </r>
  <r>
    <x v="96"/>
    <s v="2025-03-08"/>
    <x v="96"/>
    <x v="2"/>
    <x v="1"/>
    <n v="7"/>
    <n v="251"/>
    <x v="95"/>
    <x v="0"/>
    <x v="3"/>
  </r>
  <r>
    <x v="97"/>
    <s v="2025-08-23"/>
    <x v="97"/>
    <x v="3"/>
    <x v="5"/>
    <n v="1"/>
    <n v="1131"/>
    <x v="96"/>
    <x v="0"/>
    <x v="3"/>
  </r>
  <r>
    <x v="98"/>
    <s v="2025-08-19"/>
    <x v="98"/>
    <x v="3"/>
    <x v="0"/>
    <n v="6"/>
    <n v="776"/>
    <x v="97"/>
    <x v="4"/>
    <x v="0"/>
  </r>
  <r>
    <x v="99"/>
    <s v="2025-12-07"/>
    <x v="99"/>
    <x v="0"/>
    <x v="0"/>
    <n v="2"/>
    <n v="681"/>
    <x v="98"/>
    <x v="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3F0D5C-E2E0-4A62-B401-892E4B41042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05" firstHeaderRow="1" firstDataRow="1" firstDataCol="1" rowPageCount="2" colPageCount="1"/>
  <pivotFields count="10">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axis="axisRow" showAll="0">
      <items count="101">
        <item x="92"/>
        <item x="30"/>
        <item x="72"/>
        <item x="82"/>
        <item x="46"/>
        <item x="75"/>
        <item x="29"/>
        <item x="45"/>
        <item x="47"/>
        <item x="52"/>
        <item x="61"/>
        <item x="78"/>
        <item x="43"/>
        <item x="65"/>
        <item x="53"/>
        <item x="9"/>
        <item x="88"/>
        <item x="89"/>
        <item x="16"/>
        <item x="20"/>
        <item x="18"/>
        <item x="57"/>
        <item x="26"/>
        <item x="87"/>
        <item x="99"/>
        <item x="95"/>
        <item x="91"/>
        <item x="63"/>
        <item x="54"/>
        <item x="68"/>
        <item x="2"/>
        <item x="1"/>
        <item x="0"/>
        <item x="48"/>
        <item x="66"/>
        <item x="71"/>
        <item x="70"/>
        <item x="21"/>
        <item x="13"/>
        <item x="37"/>
        <item x="67"/>
        <item x="90"/>
        <item x="80"/>
        <item x="62"/>
        <item x="74"/>
        <item x="96"/>
        <item x="42"/>
        <item x="56"/>
        <item x="93"/>
        <item x="58"/>
        <item x="36"/>
        <item x="8"/>
        <item x="83"/>
        <item x="60"/>
        <item x="4"/>
        <item x="23"/>
        <item x="28"/>
        <item x="22"/>
        <item x="35"/>
        <item x="64"/>
        <item x="11"/>
        <item x="27"/>
        <item x="12"/>
        <item x="10"/>
        <item x="25"/>
        <item x="41"/>
        <item x="44"/>
        <item x="39"/>
        <item x="84"/>
        <item x="76"/>
        <item x="59"/>
        <item x="34"/>
        <item x="24"/>
        <item x="7"/>
        <item x="14"/>
        <item x="31"/>
        <item x="32"/>
        <item x="19"/>
        <item x="81"/>
        <item x="86"/>
        <item x="73"/>
        <item x="3"/>
        <item x="17"/>
        <item x="40"/>
        <item x="38"/>
        <item x="5"/>
        <item x="69"/>
        <item x="79"/>
        <item x="51"/>
        <item x="55"/>
        <item x="94"/>
        <item x="49"/>
        <item x="6"/>
        <item x="50"/>
        <item x="85"/>
        <item x="98"/>
        <item x="97"/>
        <item x="33"/>
        <item x="77"/>
        <item x="15"/>
        <item t="default"/>
      </items>
    </pivotField>
    <pivotField axis="axisPage" showAll="0">
      <items count="5">
        <item x="1"/>
        <item x="0"/>
        <item x="2"/>
        <item x="3"/>
        <item t="default"/>
      </items>
    </pivotField>
    <pivotField axis="axisPage" showAll="0">
      <items count="7">
        <item x="1"/>
        <item x="2"/>
        <item x="0"/>
        <item x="5"/>
        <item x="3"/>
        <item x="4"/>
        <item t="default"/>
      </items>
    </pivotField>
    <pivotField showAll="0"/>
    <pivotField showAll="0"/>
    <pivotField dataField="1" showAll="0">
      <items count="100">
        <item x="48"/>
        <item x="91"/>
        <item x="80"/>
        <item x="79"/>
        <item x="96"/>
        <item x="33"/>
        <item x="13"/>
        <item x="8"/>
        <item x="46"/>
        <item x="98"/>
        <item x="53"/>
        <item x="73"/>
        <item x="42"/>
        <item x="76"/>
        <item x="95"/>
        <item x="85"/>
        <item x="15"/>
        <item x="84"/>
        <item x="24"/>
        <item x="6"/>
        <item x="66"/>
        <item x="82"/>
        <item x="26"/>
        <item x="62"/>
        <item x="37"/>
        <item x="36"/>
        <item x="30"/>
        <item x="28"/>
        <item x="51"/>
        <item x="63"/>
        <item x="56"/>
        <item x="83"/>
        <item x="52"/>
        <item x="68"/>
        <item x="34"/>
        <item x="35"/>
        <item x="58"/>
        <item x="92"/>
        <item x="50"/>
        <item x="19"/>
        <item x="11"/>
        <item x="25"/>
        <item x="78"/>
        <item x="71"/>
        <item x="45"/>
        <item x="74"/>
        <item x="4"/>
        <item x="54"/>
        <item x="31"/>
        <item x="67"/>
        <item x="38"/>
        <item x="97"/>
        <item x="65"/>
        <item x="89"/>
        <item x="72"/>
        <item x="5"/>
        <item x="57"/>
        <item x="60"/>
        <item x="2"/>
        <item x="39"/>
        <item x="40"/>
        <item x="29"/>
        <item x="22"/>
        <item x="90"/>
        <item x="64"/>
        <item x="23"/>
        <item x="44"/>
        <item x="55"/>
        <item x="87"/>
        <item x="10"/>
        <item x="1"/>
        <item x="12"/>
        <item x="88"/>
        <item x="69"/>
        <item x="0"/>
        <item x="7"/>
        <item x="18"/>
        <item x="14"/>
        <item x="21"/>
        <item x="49"/>
        <item x="9"/>
        <item x="93"/>
        <item x="70"/>
        <item x="17"/>
        <item x="59"/>
        <item x="77"/>
        <item x="81"/>
        <item x="20"/>
        <item x="3"/>
        <item x="47"/>
        <item x="75"/>
        <item x="94"/>
        <item x="43"/>
        <item x="86"/>
        <item x="41"/>
        <item x="61"/>
        <item x="32"/>
        <item x="16"/>
        <item x="27"/>
        <item t="default"/>
      </items>
    </pivotField>
    <pivotField showAll="0">
      <items count="7">
        <item x="3"/>
        <item x="4"/>
        <item x="5"/>
        <item x="0"/>
        <item x="1"/>
        <item x="2"/>
        <item t="default"/>
      </items>
    </pivotField>
    <pivotField showAll="0">
      <items count="5">
        <item x="0"/>
        <item x="2"/>
        <item x="3"/>
        <item x="1"/>
        <item t="default"/>
      </items>
    </pivotField>
  </pivotFields>
  <rowFields count="1">
    <field x="2"/>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pageFields count="2">
    <pageField fld="3" hier="-1"/>
    <pageField fld="4" hier="-1"/>
  </pageFields>
  <dataFields count="1">
    <dataField name="Sum of Reven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BAD33286-6073-4E28-9371-6C3808EAC124}" sourceName="Salesperson">
  <pivotTables>
    <pivotTable tabId="9" name="PivotTable3"/>
  </pivotTables>
  <data>
    <tabular pivotCacheId="1203742031">
      <items count="6">
        <i x="3" s="1"/>
        <i x="4" s="1"/>
        <i x="5"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85A7DED-82A5-4B8D-BFBD-5ADA7064E889}" sourceName="Region">
  <extLst>
    <x:ext xmlns:x15="http://schemas.microsoft.com/office/spreadsheetml/2010/11/main" uri="{2F2917AC-EB37-4324-AD4E-5DD8C200BD13}">
      <x15:tableSlicerCache tableId="2"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 xr10:uid="{E89C6C8C-62F9-4445-BF0A-33B2FADA1169}" sourceName="Revenue">
  <extLst>
    <x:ext xmlns:x15="http://schemas.microsoft.com/office/spreadsheetml/2010/11/main" uri="{2F2917AC-EB37-4324-AD4E-5DD8C200BD13}">
      <x15:tableSlicerCache tableId="2" column="8"/>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93EB6F0-4B84-4FFA-A556-ACECF859D705}" sourceName="Region">
  <extLst>
    <x:ext xmlns:x15="http://schemas.microsoft.com/office/spreadsheetml/2010/11/main" uri="{2F2917AC-EB37-4324-AD4E-5DD8C200BD13}">
      <x15:tableSlicerCache tableId="7"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2169A9A-0617-4882-BBAE-32329ABF53B7}" sourceName="Product">
  <extLst>
    <x:ext xmlns:x15="http://schemas.microsoft.com/office/spreadsheetml/2010/11/main" uri="{2F2917AC-EB37-4324-AD4E-5DD8C200BD13}">
      <x15:tableSlicerCache tableId="7"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316045C-39F3-499C-9AFB-945EB44E09D0}" cache="Slicer_Region" caption="Region" rowHeight="234950"/>
  <slicer name="Revenue" xr10:uid="{4FE826D7-2917-4E43-AB1C-3D6F0C5966D3}" cache="Slicer_Revenue" caption="Revenu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8CF91D76-F86C-42F7-8199-F0AC79BD0359}" cache="Slicer_Salesperson" caption="Salespers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A7373FB-2969-4101-9A37-DD84AC0DF79F}" cache="Slicer_Region1" caption="Region" rowHeight="234950"/>
  <slicer name="Product" xr10:uid="{83E35563-3A35-4B48-8503-4488540ED935}"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F9A8A6-C8E1-43DE-81F7-DCC5143DD746}" name="Table1" displayName="Table1" ref="A1:J101" totalsRowShown="0" headerRowDxfId="14" headerRowBorderDxfId="13" tableBorderDxfId="12">
  <autoFilter ref="A1:J101" xr:uid="{23F9A8A6-C8E1-43DE-81F7-DCC5143DD746}"/>
  <tableColumns count="10">
    <tableColumn id="1" xr3:uid="{F0ED1AFD-44B5-418B-9BD6-C8381B2C2BC2}" name="Order_ID"/>
    <tableColumn id="2" xr3:uid="{8A4CB4A9-26CD-4C0F-8419-B3DF338E7C71}" name="Order_Date"/>
    <tableColumn id="3" xr3:uid="{E98CC423-B9F3-411D-927B-B56B274B00D4}" name="Customer_Name"/>
    <tableColumn id="4" xr3:uid="{ADDA5E67-F8A2-4522-878C-E3757F4D7453}" name="Region"/>
    <tableColumn id="5" xr3:uid="{F1FF694D-0668-45CF-B3F3-7F539332E5D2}" name="Product"/>
    <tableColumn id="6" xr3:uid="{177298FF-77C1-4BD9-9592-DD721EC61208}" name="Quantity"/>
    <tableColumn id="7" xr3:uid="{6803E9F0-4444-4A43-B140-8618B2354BC7}" name="Unit_Price"/>
    <tableColumn id="8" xr3:uid="{F8AB7916-D072-4701-9E5A-6C06044D97ED}" name="Revenue"/>
    <tableColumn id="9" xr3:uid="{282C45D0-7279-4227-833D-523F674C65CF}" name="Salesperson"/>
    <tableColumn id="10" xr3:uid="{84A02FAE-E4CD-4FCE-A287-F29917D9BBEB}" name="Payment_Metho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57CFF6-A173-4B88-A379-B858E15C91DA}" name="Table13" displayName="Table13" ref="A1:K101" totalsRowShown="0" headerRowDxfId="11" headerRowBorderDxfId="10" tableBorderDxfId="9">
  <autoFilter ref="A1:K101" xr:uid="{6157CFF6-A173-4B88-A379-B858E15C91DA}"/>
  <tableColumns count="11">
    <tableColumn id="11" xr3:uid="{8A587891-DDBE-4EA7-9FC0-E660274D0D12}" name="S.No"/>
    <tableColumn id="1" xr3:uid="{FBF336CF-D6CD-4DF3-BA2E-C779219BBA9D}" name="Order_ID"/>
    <tableColumn id="2" xr3:uid="{4953E5CE-F918-4AD3-B8C4-3B00CE45582D}" name="Order_Date"/>
    <tableColumn id="3" xr3:uid="{48E82F49-478C-4859-BE3C-F2E07D901BAB}" name="Customer_Name"/>
    <tableColumn id="4" xr3:uid="{221D34F8-8E73-47D3-AA94-43DA24DE12F8}" name="Region"/>
    <tableColumn id="5" xr3:uid="{D465A494-5CD7-43D2-8B80-6F00C8A6D832}" name="Product"/>
    <tableColumn id="6" xr3:uid="{72E1FFBA-7775-467B-A558-6BE1823C5485}" name="Quantity"/>
    <tableColumn id="7" xr3:uid="{95EBF314-2BA1-4936-ABD1-738920DEE8EE}" name="Unit_Price"/>
    <tableColumn id="8" xr3:uid="{2A26DD6C-261E-4AF0-B1C5-E22E3498087A}" name="Revenue"/>
    <tableColumn id="9" xr3:uid="{91ADB4A6-3852-48F0-BA11-E72CC46CA26D}" name="Salesperson"/>
    <tableColumn id="10" xr3:uid="{E525DC93-295B-4C2A-97B2-50D343FC13F3}" name="Payment_Metho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1F250F6-771C-4C41-A51D-A5E621E11C2B}" name="Table3" displayName="Table3" ref="P2:Q6" totalsRowShown="0">
  <autoFilter ref="P2:Q6" xr:uid="{21F250F6-771C-4C41-A51D-A5E621E11C2B}"/>
  <tableColumns count="2">
    <tableColumn id="1" xr3:uid="{9E7E36DD-6D8D-4D65-81D0-F3C207ED75B5}" name="Function"/>
    <tableColumn id="2" xr3:uid="{CF42BBC3-895C-4E6E-AC8F-021E573B3A89}" name="Resul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3A862D-399A-433D-9BBF-D27714A6646A}" name="Table15" displayName="Table15" ref="A1:J101" totalsRowShown="0" headerRowDxfId="8" headerRowBorderDxfId="7" tableBorderDxfId="6">
  <autoFilter ref="A1:J101" xr:uid="{1F3A862D-399A-433D-9BBF-D27714A6646A}"/>
  <tableColumns count="10">
    <tableColumn id="1" xr3:uid="{1D2F807D-F91A-4049-90FA-447E90DC9E39}" name="Order_ID"/>
    <tableColumn id="2" xr3:uid="{AC173D22-EE31-44D7-8AD7-BB6AED9D96E6}" name="Order_Date"/>
    <tableColumn id="3" xr3:uid="{B498AFBF-3041-4A79-BC6B-C045947B14B0}" name="Customer_Name"/>
    <tableColumn id="4" xr3:uid="{F4F18C68-E510-4E42-9480-07A9047AE5BA}" name="Region"/>
    <tableColumn id="5" xr3:uid="{9DF80987-20D6-45A0-AF38-678D953AE9AA}" name="Product"/>
    <tableColumn id="6" xr3:uid="{0D3160CE-059D-4118-93FB-A24C183810D5}" name="Quantity"/>
    <tableColumn id="7" xr3:uid="{779CCC14-3746-4DE4-94D9-CD5E9671B7C4}" name="Unit_Price"/>
    <tableColumn id="8" xr3:uid="{55DFD432-E09E-4412-9CF4-A860CDBACF47}" name="Revenue"/>
    <tableColumn id="9" xr3:uid="{E361A859-E7EA-44F2-8E5A-45D1CBB4FD93}" name="Salesperson"/>
    <tableColumn id="10" xr3:uid="{F0652AC7-9A1C-4649-872E-979A4DB84626}" name="Payment_Metho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7CBB244-E6EE-4FE7-9343-7BA35CAAD690}" name="Table17" displayName="Table17" ref="A1:J101" totalsRowShown="0" headerRowDxfId="5" headerRowBorderDxfId="4" tableBorderDxfId="3">
  <tableColumns count="10">
    <tableColumn id="1" xr3:uid="{FF7BAC33-CD79-4CB1-B32D-6BB290305CB7}" name="Order_ID"/>
    <tableColumn id="2" xr3:uid="{4137A21A-8AFD-4656-A1B1-9A2046348B9D}" name="Order_Date"/>
    <tableColumn id="3" xr3:uid="{8C91C3C3-F228-4C61-BBEA-A908B8E332FF}" name="Customer_Name"/>
    <tableColumn id="4" xr3:uid="{17BB6B97-AE47-424B-90B8-7005D618E5BD}" name="Region"/>
    <tableColumn id="5" xr3:uid="{83E34F35-5686-40F7-80FA-9845BD668C19}" name="Product"/>
    <tableColumn id="6" xr3:uid="{1B65C0C9-E13D-4B37-8F0C-C114F0FBDCD7}" name="Quantity"/>
    <tableColumn id="7" xr3:uid="{CC89EB3E-199D-4868-B54C-1CF59535F6FF}" name="Unit_Price"/>
    <tableColumn id="8" xr3:uid="{D89E55A9-E625-4A2C-90AA-F7EBE5EEF36E}" name="Revenue"/>
    <tableColumn id="9" xr3:uid="{F5F1794A-CE42-43D2-A875-74DE27B855FC}" name="Salesperson"/>
    <tableColumn id="10" xr3:uid="{067219A3-0F4D-4DA2-BC37-2F50C6F1F2A6}" name="Payment_Method"/>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A3EB19F-492D-4CF6-945A-3F07D03049BC}" name="Table18" displayName="Table18" ref="A1:J101" totalsRowShown="0" headerRowDxfId="17" headerRowBorderDxfId="16" tableBorderDxfId="15">
  <autoFilter ref="A1:J101" xr:uid="{4A3EB19F-492D-4CF6-945A-3F07D03049BC}"/>
  <tableColumns count="10">
    <tableColumn id="1" xr3:uid="{5A518B99-39D5-4902-BAEE-F7A7B04A8FFF}" name="Order_ID"/>
    <tableColumn id="2" xr3:uid="{8532E467-97C9-4A43-A838-5AE43E1E8EE3}" name="Order_Date"/>
    <tableColumn id="3" xr3:uid="{96546BF7-39FC-41C4-B461-4AE17715C9BC}" name="Customer_Name"/>
    <tableColumn id="4" xr3:uid="{8240C19A-7989-40BC-B4D3-0DEB32624A3B}" name="Region"/>
    <tableColumn id="5" xr3:uid="{6C2A3BC6-C6A1-4EA7-AB5C-131A762FFA0F}" name="Product"/>
    <tableColumn id="6" xr3:uid="{E3DECCBC-2CD6-4E51-B5DB-59555755F3B9}" name="Quantity"/>
    <tableColumn id="7" xr3:uid="{A17A5681-5CF2-49AB-A30C-0F2F4562FF1E}" name="Unit_Price"/>
    <tableColumn id="8" xr3:uid="{57EA3E29-E92F-4A4C-85C7-1FB214AC2921}" name="Revenue"/>
    <tableColumn id="9" xr3:uid="{E4A24F8E-E5F9-41FA-ABB0-6E2E1B8281DC}" name="Salesperson"/>
    <tableColumn id="10" xr3:uid="{269AE373-405E-4DB8-B490-15DB76D909AE}" name="Payment_Method"/>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825FE17-2E61-463C-A43F-553D61B1D951}" name="Table16" displayName="Table16" ref="A1:J101" totalsRowShown="0" headerRowDxfId="2" headerRowBorderDxfId="0" tableBorderDxfId="1">
  <autoFilter ref="A1:J101" xr:uid="{4825FE17-2E61-463C-A43F-553D61B1D951}"/>
  <tableColumns count="10">
    <tableColumn id="1" xr3:uid="{0C7668DD-7060-4E4D-9568-F4F90E807D38}" name="Order_ID"/>
    <tableColumn id="2" xr3:uid="{7564980E-855F-4834-9FB6-B7FB874BD103}" name="Order_Date"/>
    <tableColumn id="3" xr3:uid="{ED3B1192-92AE-4620-94A9-AC2F895D2A2F}" name="Customer_Name"/>
    <tableColumn id="4" xr3:uid="{75FCABCC-40C1-4529-8023-55C63D2B0749}" name="Region"/>
    <tableColumn id="5" xr3:uid="{10A1C7D4-EF4D-4CE7-8800-F0185A27E687}" name="Product"/>
    <tableColumn id="6" xr3:uid="{1F3BD4BD-4E4D-4945-B3DB-DDF3EE386EBB}" name="Quantity"/>
    <tableColumn id="7" xr3:uid="{53108CEE-68D8-4C0A-8FE5-C26393D5F8E8}" name="Unit_Price"/>
    <tableColumn id="8" xr3:uid="{C447022D-610D-421F-9A87-D17868CA8F5C}" name="Revenue"/>
    <tableColumn id="9" xr3:uid="{5A92E52C-5305-457D-A923-94145A425DD3}" name="Salesperson"/>
    <tableColumn id="10" xr3:uid="{45909B5E-806E-40C8-AAA9-458362DB3DE8}" name="Payment_Metho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6.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3AFA2-9417-449F-82E3-690C7A2A8768}">
  <dimension ref="A1:M101"/>
  <sheetViews>
    <sheetView workbookViewId="0">
      <selection activeCell="M10" sqref="M10"/>
    </sheetView>
  </sheetViews>
  <sheetFormatPr defaultRowHeight="14.4" x14ac:dyDescent="0.3"/>
  <cols>
    <col min="1" max="1" width="10.44140625" customWidth="1"/>
    <col min="2" max="2" width="12.5546875" customWidth="1"/>
    <col min="3" max="3" width="20.5546875" bestFit="1" customWidth="1"/>
    <col min="4" max="4" width="8.6640625" customWidth="1"/>
    <col min="5" max="5" width="11.109375" bestFit="1" customWidth="1"/>
    <col min="6" max="6" width="10.21875" customWidth="1"/>
    <col min="7" max="7" width="11.5546875" customWidth="1"/>
    <col min="8" max="8" width="10.21875" customWidth="1"/>
    <col min="9" max="9" width="12.88671875" customWidth="1"/>
    <col min="10" max="10" width="18.21875" customWidth="1"/>
  </cols>
  <sheetData>
    <row r="1" spans="1:13" x14ac:dyDescent="0.3">
      <c r="A1" s="1" t="s">
        <v>0</v>
      </c>
      <c r="B1" s="1" t="s">
        <v>1</v>
      </c>
      <c r="C1" s="1" t="s">
        <v>2</v>
      </c>
      <c r="D1" s="1" t="s">
        <v>3</v>
      </c>
      <c r="E1" s="1" t="s">
        <v>4</v>
      </c>
      <c r="F1" s="1" t="s">
        <v>5</v>
      </c>
      <c r="G1" s="1" t="s">
        <v>6</v>
      </c>
      <c r="H1" s="1" t="s">
        <v>7</v>
      </c>
      <c r="I1" s="1" t="s">
        <v>8</v>
      </c>
      <c r="J1" s="1" t="s">
        <v>9</v>
      </c>
      <c r="M1" s="6" t="s">
        <v>364</v>
      </c>
    </row>
    <row r="2" spans="1:13" x14ac:dyDescent="0.3">
      <c r="A2" t="s">
        <v>10</v>
      </c>
      <c r="B2" t="s">
        <v>11</v>
      </c>
      <c r="C2" t="s">
        <v>12</v>
      </c>
      <c r="D2" t="s">
        <v>13</v>
      </c>
      <c r="E2" t="s">
        <v>14</v>
      </c>
      <c r="F2">
        <v>8</v>
      </c>
      <c r="G2">
        <v>960</v>
      </c>
      <c r="H2">
        <v>7680</v>
      </c>
      <c r="I2" t="s">
        <v>15</v>
      </c>
      <c r="J2" t="s">
        <v>16</v>
      </c>
      <c r="M2" s="7" t="s">
        <v>365</v>
      </c>
    </row>
    <row r="3" spans="1:13" x14ac:dyDescent="0.3">
      <c r="A3" t="s">
        <v>17</v>
      </c>
      <c r="B3" t="s">
        <v>18</v>
      </c>
      <c r="C3" t="s">
        <v>19</v>
      </c>
      <c r="D3" t="s">
        <v>20</v>
      </c>
      <c r="E3" t="s">
        <v>14</v>
      </c>
      <c r="F3">
        <v>8</v>
      </c>
      <c r="G3">
        <v>897</v>
      </c>
      <c r="H3">
        <v>7176</v>
      </c>
      <c r="I3" t="s">
        <v>21</v>
      </c>
      <c r="J3" t="s">
        <v>22</v>
      </c>
      <c r="M3" s="6" t="s">
        <v>366</v>
      </c>
    </row>
    <row r="4" spans="1:13" x14ac:dyDescent="0.3">
      <c r="A4" t="s">
        <v>23</v>
      </c>
      <c r="B4" t="s">
        <v>24</v>
      </c>
      <c r="C4" t="s">
        <v>25</v>
      </c>
      <c r="D4" t="s">
        <v>13</v>
      </c>
      <c r="E4" t="s">
        <v>26</v>
      </c>
      <c r="F4">
        <v>6</v>
      </c>
      <c r="G4">
        <v>959</v>
      </c>
      <c r="H4">
        <v>5754</v>
      </c>
      <c r="I4" t="s">
        <v>21</v>
      </c>
      <c r="J4" t="s">
        <v>27</v>
      </c>
      <c r="M4" s="8" t="s">
        <v>367</v>
      </c>
    </row>
    <row r="5" spans="1:13" x14ac:dyDescent="0.3">
      <c r="A5" t="s">
        <v>28</v>
      </c>
      <c r="B5" t="s">
        <v>29</v>
      </c>
      <c r="C5" t="s">
        <v>30</v>
      </c>
      <c r="D5" t="s">
        <v>13</v>
      </c>
      <c r="E5" t="s">
        <v>31</v>
      </c>
      <c r="F5">
        <v>10</v>
      </c>
      <c r="G5">
        <v>1065</v>
      </c>
      <c r="H5">
        <v>10650</v>
      </c>
      <c r="I5" t="s">
        <v>21</v>
      </c>
      <c r="J5" t="s">
        <v>27</v>
      </c>
      <c r="M5" s="8" t="s">
        <v>368</v>
      </c>
    </row>
    <row r="6" spans="1:13" x14ac:dyDescent="0.3">
      <c r="A6" t="s">
        <v>32</v>
      </c>
      <c r="B6" t="s">
        <v>33</v>
      </c>
      <c r="C6" t="s">
        <v>34</v>
      </c>
      <c r="D6" t="s">
        <v>20</v>
      </c>
      <c r="E6" t="s">
        <v>31</v>
      </c>
      <c r="F6">
        <v>4</v>
      </c>
      <c r="G6">
        <v>978</v>
      </c>
      <c r="H6">
        <v>3912</v>
      </c>
      <c r="I6" t="s">
        <v>35</v>
      </c>
      <c r="J6" t="s">
        <v>16</v>
      </c>
      <c r="M6" s="8" t="s">
        <v>369</v>
      </c>
    </row>
    <row r="7" spans="1:13" x14ac:dyDescent="0.3">
      <c r="A7" t="s">
        <v>36</v>
      </c>
      <c r="B7" t="s">
        <v>37</v>
      </c>
      <c r="C7" t="s">
        <v>38</v>
      </c>
      <c r="D7" t="s">
        <v>20</v>
      </c>
      <c r="E7" t="s">
        <v>14</v>
      </c>
      <c r="F7">
        <v>7</v>
      </c>
      <c r="G7">
        <v>785</v>
      </c>
      <c r="H7">
        <v>5495</v>
      </c>
      <c r="I7" t="s">
        <v>39</v>
      </c>
      <c r="J7" t="s">
        <v>40</v>
      </c>
      <c r="M7" s="8" t="s">
        <v>370</v>
      </c>
    </row>
    <row r="8" spans="1:13" x14ac:dyDescent="0.3">
      <c r="A8" t="s">
        <v>41</v>
      </c>
      <c r="B8" t="s">
        <v>42</v>
      </c>
      <c r="C8" t="s">
        <v>43</v>
      </c>
      <c r="D8" t="s">
        <v>44</v>
      </c>
      <c r="E8" t="s">
        <v>45</v>
      </c>
      <c r="F8">
        <v>4</v>
      </c>
      <c r="G8">
        <v>474</v>
      </c>
      <c r="H8">
        <v>1896</v>
      </c>
      <c r="I8" t="s">
        <v>15</v>
      </c>
      <c r="J8" t="s">
        <v>16</v>
      </c>
      <c r="M8" s="8" t="s">
        <v>371</v>
      </c>
    </row>
    <row r="9" spans="1:13" x14ac:dyDescent="0.3">
      <c r="A9" t="s">
        <v>46</v>
      </c>
      <c r="B9" t="s">
        <v>47</v>
      </c>
      <c r="C9" t="s">
        <v>48</v>
      </c>
      <c r="D9" t="s">
        <v>49</v>
      </c>
      <c r="E9" t="s">
        <v>14</v>
      </c>
      <c r="F9">
        <v>4</v>
      </c>
      <c r="G9">
        <v>1934</v>
      </c>
      <c r="H9">
        <v>7736</v>
      </c>
      <c r="I9" t="s">
        <v>15</v>
      </c>
      <c r="J9" t="s">
        <v>40</v>
      </c>
    </row>
    <row r="10" spans="1:13" x14ac:dyDescent="0.3">
      <c r="A10" t="s">
        <v>50</v>
      </c>
      <c r="B10" t="s">
        <v>51</v>
      </c>
      <c r="C10" t="s">
        <v>52</v>
      </c>
      <c r="D10" t="s">
        <v>49</v>
      </c>
      <c r="E10" t="s">
        <v>31</v>
      </c>
      <c r="F10">
        <v>2</v>
      </c>
      <c r="G10">
        <v>599</v>
      </c>
      <c r="H10">
        <v>1198</v>
      </c>
      <c r="I10" t="s">
        <v>53</v>
      </c>
      <c r="J10" t="s">
        <v>27</v>
      </c>
    </row>
    <row r="11" spans="1:13" x14ac:dyDescent="0.3">
      <c r="A11" t="s">
        <v>54</v>
      </c>
      <c r="B11" t="s">
        <v>55</v>
      </c>
      <c r="C11" t="s">
        <v>56</v>
      </c>
      <c r="D11" t="s">
        <v>20</v>
      </c>
      <c r="E11" t="s">
        <v>31</v>
      </c>
      <c r="F11">
        <v>6</v>
      </c>
      <c r="G11">
        <v>1476</v>
      </c>
      <c r="H11">
        <v>8856</v>
      </c>
      <c r="I11" t="s">
        <v>15</v>
      </c>
      <c r="J11" t="s">
        <v>40</v>
      </c>
    </row>
    <row r="12" spans="1:13" x14ac:dyDescent="0.3">
      <c r="A12" t="s">
        <v>57</v>
      </c>
      <c r="B12" t="s">
        <v>58</v>
      </c>
      <c r="C12" t="s">
        <v>59</v>
      </c>
      <c r="D12" t="s">
        <v>49</v>
      </c>
      <c r="E12" t="s">
        <v>60</v>
      </c>
      <c r="F12">
        <v>5</v>
      </c>
      <c r="G12">
        <v>1331</v>
      </c>
      <c r="H12">
        <v>6655</v>
      </c>
      <c r="I12" t="s">
        <v>35</v>
      </c>
      <c r="J12" t="s">
        <v>27</v>
      </c>
    </row>
    <row r="13" spans="1:13" x14ac:dyDescent="0.3">
      <c r="A13" t="s">
        <v>61</v>
      </c>
      <c r="B13" t="s">
        <v>62</v>
      </c>
      <c r="C13" t="s">
        <v>63</v>
      </c>
      <c r="D13" t="s">
        <v>13</v>
      </c>
      <c r="E13" t="s">
        <v>14</v>
      </c>
      <c r="F13">
        <v>5</v>
      </c>
      <c r="G13">
        <v>678</v>
      </c>
      <c r="H13">
        <v>3390</v>
      </c>
      <c r="I13" t="s">
        <v>35</v>
      </c>
      <c r="J13" t="s">
        <v>27</v>
      </c>
    </row>
    <row r="14" spans="1:13" x14ac:dyDescent="0.3">
      <c r="A14" t="s">
        <v>64</v>
      </c>
      <c r="B14" t="s">
        <v>65</v>
      </c>
      <c r="C14" t="s">
        <v>66</v>
      </c>
      <c r="D14" t="s">
        <v>13</v>
      </c>
      <c r="E14" t="s">
        <v>60</v>
      </c>
      <c r="F14">
        <v>4</v>
      </c>
      <c r="G14">
        <v>1808</v>
      </c>
      <c r="H14">
        <v>7232</v>
      </c>
      <c r="I14" t="s">
        <v>67</v>
      </c>
      <c r="J14" t="s">
        <v>22</v>
      </c>
    </row>
    <row r="15" spans="1:13" x14ac:dyDescent="0.3">
      <c r="A15" t="s">
        <v>68</v>
      </c>
      <c r="B15" t="s">
        <v>69</v>
      </c>
      <c r="C15" t="s">
        <v>70</v>
      </c>
      <c r="D15" t="s">
        <v>13</v>
      </c>
      <c r="E15" t="s">
        <v>45</v>
      </c>
      <c r="F15">
        <v>1</v>
      </c>
      <c r="G15">
        <v>1141</v>
      </c>
      <c r="H15">
        <v>1141</v>
      </c>
      <c r="I15" t="s">
        <v>67</v>
      </c>
      <c r="J15" t="s">
        <v>27</v>
      </c>
    </row>
    <row r="16" spans="1:13" x14ac:dyDescent="0.3">
      <c r="A16" t="s">
        <v>71</v>
      </c>
      <c r="B16" t="s">
        <v>72</v>
      </c>
      <c r="C16" t="s">
        <v>73</v>
      </c>
      <c r="D16" t="s">
        <v>20</v>
      </c>
      <c r="E16" t="s">
        <v>31</v>
      </c>
      <c r="F16">
        <v>6</v>
      </c>
      <c r="G16">
        <v>1433</v>
      </c>
      <c r="H16">
        <v>8598</v>
      </c>
      <c r="I16" t="s">
        <v>15</v>
      </c>
      <c r="J16" t="s">
        <v>27</v>
      </c>
    </row>
    <row r="17" spans="1:10" x14ac:dyDescent="0.3">
      <c r="A17" t="s">
        <v>74</v>
      </c>
      <c r="B17" t="s">
        <v>75</v>
      </c>
      <c r="C17" t="s">
        <v>76</v>
      </c>
      <c r="D17" t="s">
        <v>20</v>
      </c>
      <c r="E17" t="s">
        <v>14</v>
      </c>
      <c r="F17">
        <v>1</v>
      </c>
      <c r="G17">
        <v>1766</v>
      </c>
      <c r="H17">
        <v>1766</v>
      </c>
      <c r="I17" t="s">
        <v>39</v>
      </c>
      <c r="J17" t="s">
        <v>22</v>
      </c>
    </row>
    <row r="18" spans="1:10" x14ac:dyDescent="0.3">
      <c r="A18" t="s">
        <v>77</v>
      </c>
      <c r="B18" t="s">
        <v>78</v>
      </c>
      <c r="C18" t="s">
        <v>79</v>
      </c>
      <c r="D18" t="s">
        <v>13</v>
      </c>
      <c r="E18" t="s">
        <v>14</v>
      </c>
      <c r="F18">
        <v>10</v>
      </c>
      <c r="G18">
        <v>1878</v>
      </c>
      <c r="H18">
        <v>18780</v>
      </c>
      <c r="I18" t="s">
        <v>21</v>
      </c>
      <c r="J18" t="s">
        <v>22</v>
      </c>
    </row>
    <row r="19" spans="1:10" x14ac:dyDescent="0.3">
      <c r="A19" t="s">
        <v>80</v>
      </c>
      <c r="B19" t="s">
        <v>81</v>
      </c>
      <c r="C19" t="s">
        <v>82</v>
      </c>
      <c r="D19" t="s">
        <v>49</v>
      </c>
      <c r="E19" t="s">
        <v>14</v>
      </c>
      <c r="F19">
        <v>9</v>
      </c>
      <c r="G19">
        <v>1103</v>
      </c>
      <c r="H19">
        <v>9927</v>
      </c>
      <c r="I19" t="s">
        <v>53</v>
      </c>
      <c r="J19" t="s">
        <v>40</v>
      </c>
    </row>
    <row r="20" spans="1:10" x14ac:dyDescent="0.3">
      <c r="A20" t="s">
        <v>83</v>
      </c>
      <c r="B20" t="s">
        <v>84</v>
      </c>
      <c r="C20" t="s">
        <v>85</v>
      </c>
      <c r="D20" t="s">
        <v>20</v>
      </c>
      <c r="E20" t="s">
        <v>86</v>
      </c>
      <c r="F20">
        <v>9</v>
      </c>
      <c r="G20">
        <v>921</v>
      </c>
      <c r="H20">
        <v>8289</v>
      </c>
      <c r="I20" t="s">
        <v>53</v>
      </c>
      <c r="J20" t="s">
        <v>40</v>
      </c>
    </row>
    <row r="21" spans="1:10" x14ac:dyDescent="0.3">
      <c r="A21" t="s">
        <v>87</v>
      </c>
      <c r="B21" t="s">
        <v>88</v>
      </c>
      <c r="C21" t="s">
        <v>89</v>
      </c>
      <c r="D21" t="s">
        <v>49</v>
      </c>
      <c r="E21" t="s">
        <v>26</v>
      </c>
      <c r="F21">
        <v>3</v>
      </c>
      <c r="G21">
        <v>1080</v>
      </c>
      <c r="H21">
        <v>3240</v>
      </c>
      <c r="I21" t="s">
        <v>35</v>
      </c>
      <c r="J21" t="s">
        <v>40</v>
      </c>
    </row>
    <row r="22" spans="1:10" x14ac:dyDescent="0.3">
      <c r="A22" t="s">
        <v>90</v>
      </c>
      <c r="B22" t="s">
        <v>91</v>
      </c>
      <c r="C22" t="s">
        <v>92</v>
      </c>
      <c r="D22" t="s">
        <v>20</v>
      </c>
      <c r="E22" t="s">
        <v>31</v>
      </c>
      <c r="F22">
        <v>6</v>
      </c>
      <c r="G22">
        <v>1764</v>
      </c>
      <c r="H22">
        <v>10584</v>
      </c>
      <c r="I22" t="s">
        <v>35</v>
      </c>
      <c r="J22" t="s">
        <v>40</v>
      </c>
    </row>
    <row r="23" spans="1:10" x14ac:dyDescent="0.3">
      <c r="A23" t="s">
        <v>93</v>
      </c>
      <c r="B23" t="s">
        <v>65</v>
      </c>
      <c r="C23" t="s">
        <v>94</v>
      </c>
      <c r="D23" t="s">
        <v>44</v>
      </c>
      <c r="E23" t="s">
        <v>14</v>
      </c>
      <c r="F23">
        <v>10</v>
      </c>
      <c r="G23">
        <v>865</v>
      </c>
      <c r="H23">
        <v>8650</v>
      </c>
      <c r="I23" t="s">
        <v>67</v>
      </c>
      <c r="J23" t="s">
        <v>16</v>
      </c>
    </row>
    <row r="24" spans="1:10" x14ac:dyDescent="0.3">
      <c r="A24" t="s">
        <v>95</v>
      </c>
      <c r="B24" t="s">
        <v>96</v>
      </c>
      <c r="C24" t="s">
        <v>97</v>
      </c>
      <c r="D24" t="s">
        <v>49</v>
      </c>
      <c r="E24" t="s">
        <v>60</v>
      </c>
      <c r="F24">
        <v>5</v>
      </c>
      <c r="G24">
        <v>1177</v>
      </c>
      <c r="H24">
        <v>5885</v>
      </c>
      <c r="I24" t="s">
        <v>15</v>
      </c>
      <c r="J24" t="s">
        <v>40</v>
      </c>
    </row>
    <row r="25" spans="1:10" x14ac:dyDescent="0.3">
      <c r="A25" t="s">
        <v>98</v>
      </c>
      <c r="B25" t="s">
        <v>99</v>
      </c>
      <c r="C25" t="s">
        <v>100</v>
      </c>
      <c r="D25" t="s">
        <v>44</v>
      </c>
      <c r="E25" t="s">
        <v>31</v>
      </c>
      <c r="F25">
        <v>7</v>
      </c>
      <c r="G25">
        <v>888</v>
      </c>
      <c r="H25">
        <v>6216</v>
      </c>
      <c r="I25" t="s">
        <v>67</v>
      </c>
      <c r="J25" t="s">
        <v>16</v>
      </c>
    </row>
    <row r="26" spans="1:10" x14ac:dyDescent="0.3">
      <c r="A26" t="s">
        <v>101</v>
      </c>
      <c r="B26" t="s">
        <v>102</v>
      </c>
      <c r="C26" t="s">
        <v>103</v>
      </c>
      <c r="D26" t="s">
        <v>20</v>
      </c>
      <c r="E26" t="s">
        <v>14</v>
      </c>
      <c r="F26">
        <v>1</v>
      </c>
      <c r="G26">
        <v>1875</v>
      </c>
      <c r="H26">
        <v>1875</v>
      </c>
      <c r="I26" t="s">
        <v>39</v>
      </c>
      <c r="J26" t="s">
        <v>22</v>
      </c>
    </row>
    <row r="27" spans="1:10" x14ac:dyDescent="0.3">
      <c r="A27" t="s">
        <v>104</v>
      </c>
      <c r="B27" t="s">
        <v>105</v>
      </c>
      <c r="C27" t="s">
        <v>106</v>
      </c>
      <c r="D27" t="s">
        <v>49</v>
      </c>
      <c r="E27" t="s">
        <v>31</v>
      </c>
      <c r="F27">
        <v>2</v>
      </c>
      <c r="G27">
        <v>1778</v>
      </c>
      <c r="H27">
        <v>3556</v>
      </c>
      <c r="I27" t="s">
        <v>39</v>
      </c>
      <c r="J27" t="s">
        <v>22</v>
      </c>
    </row>
    <row r="28" spans="1:10" x14ac:dyDescent="0.3">
      <c r="A28" t="s">
        <v>107</v>
      </c>
      <c r="B28" t="s">
        <v>108</v>
      </c>
      <c r="C28" t="s">
        <v>109</v>
      </c>
      <c r="D28" t="s">
        <v>13</v>
      </c>
      <c r="E28" t="s">
        <v>14</v>
      </c>
      <c r="F28">
        <v>7</v>
      </c>
      <c r="G28">
        <v>291</v>
      </c>
      <c r="H28">
        <v>2037</v>
      </c>
      <c r="I28" t="s">
        <v>15</v>
      </c>
      <c r="J28" t="s">
        <v>40</v>
      </c>
    </row>
    <row r="29" spans="1:10" x14ac:dyDescent="0.3">
      <c r="A29" t="s">
        <v>110</v>
      </c>
      <c r="B29" t="s">
        <v>111</v>
      </c>
      <c r="C29" t="s">
        <v>112</v>
      </c>
      <c r="D29" t="s">
        <v>13</v>
      </c>
      <c r="E29" t="s">
        <v>31</v>
      </c>
      <c r="F29">
        <v>10</v>
      </c>
      <c r="G29">
        <v>1960</v>
      </c>
      <c r="H29">
        <v>19600</v>
      </c>
      <c r="I29" t="s">
        <v>53</v>
      </c>
      <c r="J29" t="s">
        <v>22</v>
      </c>
    </row>
    <row r="30" spans="1:10" x14ac:dyDescent="0.3">
      <c r="A30" t="s">
        <v>113</v>
      </c>
      <c r="B30" t="s">
        <v>114</v>
      </c>
      <c r="C30" t="s">
        <v>115</v>
      </c>
      <c r="D30" t="s">
        <v>20</v>
      </c>
      <c r="E30" t="s">
        <v>26</v>
      </c>
      <c r="F30">
        <v>3</v>
      </c>
      <c r="G30">
        <v>798</v>
      </c>
      <c r="H30">
        <v>2394</v>
      </c>
      <c r="I30" t="s">
        <v>15</v>
      </c>
      <c r="J30" t="s">
        <v>16</v>
      </c>
    </row>
    <row r="31" spans="1:10" x14ac:dyDescent="0.3">
      <c r="A31" t="s">
        <v>116</v>
      </c>
      <c r="B31" t="s">
        <v>117</v>
      </c>
      <c r="C31" t="s">
        <v>118</v>
      </c>
      <c r="D31" t="s">
        <v>20</v>
      </c>
      <c r="E31" t="s">
        <v>26</v>
      </c>
      <c r="F31">
        <v>3</v>
      </c>
      <c r="G31">
        <v>1945</v>
      </c>
      <c r="H31">
        <v>5835</v>
      </c>
      <c r="I31" t="s">
        <v>21</v>
      </c>
      <c r="J31" t="s">
        <v>16</v>
      </c>
    </row>
    <row r="32" spans="1:10" x14ac:dyDescent="0.3">
      <c r="A32" t="s">
        <v>119</v>
      </c>
      <c r="B32" t="s">
        <v>120</v>
      </c>
      <c r="C32" t="s">
        <v>121</v>
      </c>
      <c r="D32" t="s">
        <v>44</v>
      </c>
      <c r="E32" t="s">
        <v>26</v>
      </c>
      <c r="F32">
        <v>2</v>
      </c>
      <c r="G32">
        <v>1190</v>
      </c>
      <c r="H32">
        <v>2380</v>
      </c>
      <c r="I32" t="s">
        <v>35</v>
      </c>
      <c r="J32" t="s">
        <v>16</v>
      </c>
    </row>
    <row r="33" spans="1:10" x14ac:dyDescent="0.3">
      <c r="A33" t="s">
        <v>122</v>
      </c>
      <c r="B33" t="s">
        <v>123</v>
      </c>
      <c r="C33" t="s">
        <v>124</v>
      </c>
      <c r="D33" t="s">
        <v>13</v>
      </c>
      <c r="E33" t="s">
        <v>26</v>
      </c>
      <c r="F33">
        <v>3</v>
      </c>
      <c r="G33">
        <v>1481</v>
      </c>
      <c r="H33">
        <v>4443</v>
      </c>
      <c r="I33" t="s">
        <v>39</v>
      </c>
      <c r="J33" t="s">
        <v>22</v>
      </c>
    </row>
    <row r="34" spans="1:10" x14ac:dyDescent="0.3">
      <c r="A34" t="s">
        <v>125</v>
      </c>
      <c r="B34" t="s">
        <v>126</v>
      </c>
      <c r="C34" t="s">
        <v>127</v>
      </c>
      <c r="D34" t="s">
        <v>13</v>
      </c>
      <c r="E34" t="s">
        <v>60</v>
      </c>
      <c r="F34">
        <v>10</v>
      </c>
      <c r="G34">
        <v>1840</v>
      </c>
      <c r="H34">
        <v>18400</v>
      </c>
      <c r="I34" t="s">
        <v>39</v>
      </c>
      <c r="J34" t="s">
        <v>16</v>
      </c>
    </row>
    <row r="35" spans="1:10" x14ac:dyDescent="0.3">
      <c r="A35" t="s">
        <v>128</v>
      </c>
      <c r="B35" t="s">
        <v>129</v>
      </c>
      <c r="C35" t="s">
        <v>130</v>
      </c>
      <c r="D35" t="s">
        <v>49</v>
      </c>
      <c r="E35" t="s">
        <v>86</v>
      </c>
      <c r="F35">
        <v>4</v>
      </c>
      <c r="G35">
        <v>285</v>
      </c>
      <c r="H35">
        <v>1140</v>
      </c>
      <c r="I35" t="s">
        <v>21</v>
      </c>
      <c r="J35" t="s">
        <v>22</v>
      </c>
    </row>
    <row r="36" spans="1:10" x14ac:dyDescent="0.3">
      <c r="A36" t="s">
        <v>131</v>
      </c>
      <c r="B36" t="s">
        <v>132</v>
      </c>
      <c r="C36" t="s">
        <v>133</v>
      </c>
      <c r="D36" t="s">
        <v>49</v>
      </c>
      <c r="E36" t="s">
        <v>31</v>
      </c>
      <c r="F36">
        <v>7</v>
      </c>
      <c r="G36">
        <v>424</v>
      </c>
      <c r="H36">
        <v>2968</v>
      </c>
      <c r="I36" t="s">
        <v>39</v>
      </c>
      <c r="J36" t="s">
        <v>40</v>
      </c>
    </row>
    <row r="37" spans="1:10" x14ac:dyDescent="0.3">
      <c r="A37" t="s">
        <v>134</v>
      </c>
      <c r="B37" t="s">
        <v>135</v>
      </c>
      <c r="C37" t="s">
        <v>136</v>
      </c>
      <c r="D37" t="s">
        <v>13</v>
      </c>
      <c r="E37" t="s">
        <v>86</v>
      </c>
      <c r="F37">
        <v>2</v>
      </c>
      <c r="G37">
        <v>1531</v>
      </c>
      <c r="H37">
        <v>3062</v>
      </c>
      <c r="I37" t="s">
        <v>53</v>
      </c>
      <c r="J37" t="s">
        <v>27</v>
      </c>
    </row>
    <row r="38" spans="1:10" x14ac:dyDescent="0.3">
      <c r="A38" t="s">
        <v>137</v>
      </c>
      <c r="B38" t="s">
        <v>138</v>
      </c>
      <c r="C38" t="s">
        <v>139</v>
      </c>
      <c r="D38" t="s">
        <v>13</v>
      </c>
      <c r="E38" t="s">
        <v>45</v>
      </c>
      <c r="F38">
        <v>9</v>
      </c>
      <c r="G38">
        <v>256</v>
      </c>
      <c r="H38">
        <v>2304</v>
      </c>
      <c r="I38" t="s">
        <v>15</v>
      </c>
      <c r="J38" t="s">
        <v>40</v>
      </c>
    </row>
    <row r="39" spans="1:10" x14ac:dyDescent="0.3">
      <c r="A39" t="s">
        <v>140</v>
      </c>
      <c r="B39" t="s">
        <v>141</v>
      </c>
      <c r="C39" t="s">
        <v>142</v>
      </c>
      <c r="D39" t="s">
        <v>13</v>
      </c>
      <c r="E39" t="s">
        <v>45</v>
      </c>
      <c r="F39">
        <v>10</v>
      </c>
      <c r="G39">
        <v>212</v>
      </c>
      <c r="H39">
        <v>2120</v>
      </c>
      <c r="I39" t="s">
        <v>39</v>
      </c>
      <c r="J39" t="s">
        <v>27</v>
      </c>
    </row>
    <row r="40" spans="1:10" x14ac:dyDescent="0.3">
      <c r="A40" t="s">
        <v>143</v>
      </c>
      <c r="B40" t="s">
        <v>144</v>
      </c>
      <c r="C40" t="s">
        <v>145</v>
      </c>
      <c r="D40" t="s">
        <v>13</v>
      </c>
      <c r="E40" t="s">
        <v>31</v>
      </c>
      <c r="F40">
        <v>6</v>
      </c>
      <c r="G40">
        <v>753</v>
      </c>
      <c r="H40">
        <v>4518</v>
      </c>
      <c r="I40" t="s">
        <v>67</v>
      </c>
      <c r="J40" t="s">
        <v>16</v>
      </c>
    </row>
    <row r="41" spans="1:10" x14ac:dyDescent="0.3">
      <c r="A41" t="s">
        <v>146</v>
      </c>
      <c r="B41" t="s">
        <v>147</v>
      </c>
      <c r="C41" t="s">
        <v>148</v>
      </c>
      <c r="D41" t="s">
        <v>20</v>
      </c>
      <c r="E41" t="s">
        <v>31</v>
      </c>
      <c r="F41">
        <v>4</v>
      </c>
      <c r="G41">
        <v>1443</v>
      </c>
      <c r="H41">
        <v>5772</v>
      </c>
      <c r="I41" t="s">
        <v>21</v>
      </c>
      <c r="J41" t="s">
        <v>16</v>
      </c>
    </row>
    <row r="42" spans="1:10" x14ac:dyDescent="0.3">
      <c r="A42" t="s">
        <v>149</v>
      </c>
      <c r="B42" t="s">
        <v>150</v>
      </c>
      <c r="C42" t="s">
        <v>151</v>
      </c>
      <c r="D42" t="s">
        <v>13</v>
      </c>
      <c r="E42" t="s">
        <v>31</v>
      </c>
      <c r="F42">
        <v>3</v>
      </c>
      <c r="G42">
        <v>1930</v>
      </c>
      <c r="H42">
        <v>5790</v>
      </c>
      <c r="I42" t="s">
        <v>39</v>
      </c>
      <c r="J42" t="s">
        <v>16</v>
      </c>
    </row>
    <row r="43" spans="1:10" x14ac:dyDescent="0.3">
      <c r="A43" t="s">
        <v>152</v>
      </c>
      <c r="B43" t="s">
        <v>120</v>
      </c>
      <c r="C43" t="s">
        <v>153</v>
      </c>
      <c r="D43" t="s">
        <v>49</v>
      </c>
      <c r="E43" t="s">
        <v>31</v>
      </c>
      <c r="F43">
        <v>9</v>
      </c>
      <c r="G43">
        <v>1394</v>
      </c>
      <c r="H43">
        <v>12546</v>
      </c>
      <c r="I43" t="s">
        <v>53</v>
      </c>
      <c r="J43" t="s">
        <v>22</v>
      </c>
    </row>
    <row r="44" spans="1:10" x14ac:dyDescent="0.3">
      <c r="A44" t="s">
        <v>154</v>
      </c>
      <c r="B44" t="s">
        <v>155</v>
      </c>
      <c r="C44" t="s">
        <v>156</v>
      </c>
      <c r="D44" t="s">
        <v>20</v>
      </c>
      <c r="E44" t="s">
        <v>31</v>
      </c>
      <c r="F44">
        <v>3</v>
      </c>
      <c r="G44">
        <v>529</v>
      </c>
      <c r="H44">
        <v>1587</v>
      </c>
      <c r="I44" t="s">
        <v>15</v>
      </c>
      <c r="J44" t="s">
        <v>27</v>
      </c>
    </row>
    <row r="45" spans="1:10" x14ac:dyDescent="0.3">
      <c r="A45" t="s">
        <v>157</v>
      </c>
      <c r="B45" t="s">
        <v>158</v>
      </c>
      <c r="C45" t="s">
        <v>159</v>
      </c>
      <c r="D45" t="s">
        <v>44</v>
      </c>
      <c r="E45" t="s">
        <v>26</v>
      </c>
      <c r="F45">
        <v>6</v>
      </c>
      <c r="G45">
        <v>1816</v>
      </c>
      <c r="H45">
        <v>10896</v>
      </c>
      <c r="I45" t="s">
        <v>15</v>
      </c>
      <c r="J45" t="s">
        <v>22</v>
      </c>
    </row>
    <row r="46" spans="1:10" x14ac:dyDescent="0.3">
      <c r="A46" t="s">
        <v>160</v>
      </c>
      <c r="B46" t="s">
        <v>161</v>
      </c>
      <c r="C46" t="s">
        <v>162</v>
      </c>
      <c r="D46" t="s">
        <v>20</v>
      </c>
      <c r="E46" t="s">
        <v>14</v>
      </c>
      <c r="F46">
        <v>5</v>
      </c>
      <c r="G46">
        <v>1252</v>
      </c>
      <c r="H46">
        <v>6260</v>
      </c>
      <c r="I46" t="s">
        <v>67</v>
      </c>
      <c r="J46" t="s">
        <v>16</v>
      </c>
    </row>
    <row r="47" spans="1:10" x14ac:dyDescent="0.3">
      <c r="A47" t="s">
        <v>163</v>
      </c>
      <c r="B47" t="s">
        <v>164</v>
      </c>
      <c r="C47" t="s">
        <v>165</v>
      </c>
      <c r="D47" t="s">
        <v>20</v>
      </c>
      <c r="E47" t="s">
        <v>86</v>
      </c>
      <c r="F47">
        <v>2</v>
      </c>
      <c r="G47">
        <v>1846</v>
      </c>
      <c r="H47">
        <v>3692</v>
      </c>
      <c r="I47" t="s">
        <v>35</v>
      </c>
      <c r="J47" t="s">
        <v>40</v>
      </c>
    </row>
    <row r="48" spans="1:10" x14ac:dyDescent="0.3">
      <c r="A48" t="s">
        <v>166</v>
      </c>
      <c r="B48" t="s">
        <v>167</v>
      </c>
      <c r="C48" t="s">
        <v>168</v>
      </c>
      <c r="D48" t="s">
        <v>49</v>
      </c>
      <c r="E48" t="s">
        <v>86</v>
      </c>
      <c r="F48">
        <v>1</v>
      </c>
      <c r="G48">
        <v>1316</v>
      </c>
      <c r="H48">
        <v>1316</v>
      </c>
      <c r="I48" t="s">
        <v>21</v>
      </c>
      <c r="J48" t="s">
        <v>16</v>
      </c>
    </row>
    <row r="49" spans="1:10" x14ac:dyDescent="0.3">
      <c r="A49" t="s">
        <v>169</v>
      </c>
      <c r="B49" t="s">
        <v>88</v>
      </c>
      <c r="C49" t="s">
        <v>170</v>
      </c>
      <c r="D49" t="s">
        <v>13</v>
      </c>
      <c r="E49" t="s">
        <v>31</v>
      </c>
      <c r="F49">
        <v>7</v>
      </c>
      <c r="G49">
        <v>1539</v>
      </c>
      <c r="H49">
        <v>10773</v>
      </c>
      <c r="I49" t="s">
        <v>15</v>
      </c>
      <c r="J49" t="s">
        <v>40</v>
      </c>
    </row>
    <row r="50" spans="1:10" x14ac:dyDescent="0.3">
      <c r="A50" t="s">
        <v>171</v>
      </c>
      <c r="B50" t="s">
        <v>172</v>
      </c>
      <c r="C50" t="s">
        <v>173</v>
      </c>
      <c r="D50" t="s">
        <v>44</v>
      </c>
      <c r="E50" t="s">
        <v>14</v>
      </c>
      <c r="F50">
        <v>1</v>
      </c>
      <c r="G50">
        <v>184</v>
      </c>
      <c r="H50">
        <v>184</v>
      </c>
      <c r="I50" t="s">
        <v>35</v>
      </c>
      <c r="J50" t="s">
        <v>16</v>
      </c>
    </row>
    <row r="51" spans="1:10" x14ac:dyDescent="0.3">
      <c r="A51" t="s">
        <v>174</v>
      </c>
      <c r="B51" t="s">
        <v>175</v>
      </c>
      <c r="C51" t="s">
        <v>176</v>
      </c>
      <c r="D51" t="s">
        <v>20</v>
      </c>
      <c r="E51" t="s">
        <v>45</v>
      </c>
      <c r="F51">
        <v>6</v>
      </c>
      <c r="G51">
        <v>1468</v>
      </c>
      <c r="H51">
        <v>8808</v>
      </c>
      <c r="I51" t="s">
        <v>35</v>
      </c>
      <c r="J51" t="s">
        <v>16</v>
      </c>
    </row>
    <row r="52" spans="1:10" x14ac:dyDescent="0.3">
      <c r="A52" t="s">
        <v>177</v>
      </c>
      <c r="B52" t="s">
        <v>178</v>
      </c>
      <c r="C52" t="s">
        <v>179</v>
      </c>
      <c r="D52" t="s">
        <v>13</v>
      </c>
      <c r="E52" t="s">
        <v>60</v>
      </c>
      <c r="F52">
        <v>6</v>
      </c>
      <c r="G52">
        <v>536</v>
      </c>
      <c r="H52">
        <v>3216</v>
      </c>
      <c r="I52" t="s">
        <v>39</v>
      </c>
      <c r="J52" t="s">
        <v>22</v>
      </c>
    </row>
    <row r="53" spans="1:10" x14ac:dyDescent="0.3">
      <c r="A53" t="s">
        <v>180</v>
      </c>
      <c r="B53" t="s">
        <v>181</v>
      </c>
      <c r="C53" t="s">
        <v>182</v>
      </c>
      <c r="D53" t="s">
        <v>49</v>
      </c>
      <c r="E53" t="s">
        <v>26</v>
      </c>
      <c r="F53">
        <v>2</v>
      </c>
      <c r="G53">
        <v>1214</v>
      </c>
      <c r="H53">
        <v>2428</v>
      </c>
      <c r="I53" t="s">
        <v>35</v>
      </c>
      <c r="J53" t="s">
        <v>22</v>
      </c>
    </row>
    <row r="54" spans="1:10" x14ac:dyDescent="0.3">
      <c r="A54" t="s">
        <v>183</v>
      </c>
      <c r="B54" t="s">
        <v>184</v>
      </c>
      <c r="C54" t="s">
        <v>185</v>
      </c>
      <c r="D54" t="s">
        <v>13</v>
      </c>
      <c r="E54" t="s">
        <v>60</v>
      </c>
      <c r="F54">
        <v>5</v>
      </c>
      <c r="G54">
        <v>572</v>
      </c>
      <c r="H54">
        <v>2860</v>
      </c>
      <c r="I54" t="s">
        <v>67</v>
      </c>
      <c r="J54" t="s">
        <v>16</v>
      </c>
    </row>
    <row r="55" spans="1:10" x14ac:dyDescent="0.3">
      <c r="A55" t="s">
        <v>186</v>
      </c>
      <c r="B55" t="s">
        <v>187</v>
      </c>
      <c r="C55" t="s">
        <v>188</v>
      </c>
      <c r="D55" t="s">
        <v>13</v>
      </c>
      <c r="E55" t="s">
        <v>26</v>
      </c>
      <c r="F55">
        <v>5</v>
      </c>
      <c r="G55">
        <v>275</v>
      </c>
      <c r="H55">
        <v>1375</v>
      </c>
      <c r="I55" t="s">
        <v>53</v>
      </c>
      <c r="J55" t="s">
        <v>22</v>
      </c>
    </row>
    <row r="56" spans="1:10" x14ac:dyDescent="0.3">
      <c r="A56" t="s">
        <v>189</v>
      </c>
      <c r="B56" t="s">
        <v>190</v>
      </c>
      <c r="C56" t="s">
        <v>191</v>
      </c>
      <c r="D56" t="s">
        <v>20</v>
      </c>
      <c r="E56" t="s">
        <v>86</v>
      </c>
      <c r="F56">
        <v>3</v>
      </c>
      <c r="G56">
        <v>1329</v>
      </c>
      <c r="H56">
        <v>3987</v>
      </c>
      <c r="I56" t="s">
        <v>35</v>
      </c>
      <c r="J56" t="s">
        <v>22</v>
      </c>
    </row>
    <row r="57" spans="1:10" x14ac:dyDescent="0.3">
      <c r="A57" t="s">
        <v>192</v>
      </c>
      <c r="B57" t="s">
        <v>29</v>
      </c>
      <c r="C57" t="s">
        <v>193</v>
      </c>
      <c r="D57" t="s">
        <v>49</v>
      </c>
      <c r="E57" t="s">
        <v>26</v>
      </c>
      <c r="F57">
        <v>4</v>
      </c>
      <c r="G57">
        <v>1586</v>
      </c>
      <c r="H57">
        <v>6344</v>
      </c>
      <c r="I57" t="s">
        <v>35</v>
      </c>
      <c r="J57" t="s">
        <v>27</v>
      </c>
    </row>
    <row r="58" spans="1:10" x14ac:dyDescent="0.3">
      <c r="A58" t="s">
        <v>194</v>
      </c>
      <c r="B58" t="s">
        <v>195</v>
      </c>
      <c r="C58" t="s">
        <v>196</v>
      </c>
      <c r="D58" t="s">
        <v>49</v>
      </c>
      <c r="E58" t="s">
        <v>14</v>
      </c>
      <c r="F58">
        <v>6</v>
      </c>
      <c r="G58">
        <v>467</v>
      </c>
      <c r="H58">
        <v>2802</v>
      </c>
      <c r="I58" t="s">
        <v>35</v>
      </c>
      <c r="J58" t="s">
        <v>16</v>
      </c>
    </row>
    <row r="59" spans="1:10" x14ac:dyDescent="0.3">
      <c r="A59" t="s">
        <v>197</v>
      </c>
      <c r="B59" t="s">
        <v>198</v>
      </c>
      <c r="C59" t="s">
        <v>199</v>
      </c>
      <c r="D59" t="s">
        <v>49</v>
      </c>
      <c r="E59" t="s">
        <v>86</v>
      </c>
      <c r="F59">
        <v>5</v>
      </c>
      <c r="G59">
        <v>1113</v>
      </c>
      <c r="H59">
        <v>5565</v>
      </c>
      <c r="I59" t="s">
        <v>15</v>
      </c>
      <c r="J59" t="s">
        <v>40</v>
      </c>
    </row>
    <row r="60" spans="1:10" x14ac:dyDescent="0.3">
      <c r="A60" t="s">
        <v>200</v>
      </c>
      <c r="B60" t="s">
        <v>201</v>
      </c>
      <c r="C60" t="s">
        <v>202</v>
      </c>
      <c r="D60" t="s">
        <v>49</v>
      </c>
      <c r="E60" t="s">
        <v>14</v>
      </c>
      <c r="F60">
        <v>2</v>
      </c>
      <c r="G60">
        <v>1540</v>
      </c>
      <c r="H60">
        <v>3080</v>
      </c>
      <c r="I60" t="s">
        <v>21</v>
      </c>
      <c r="J60" t="s">
        <v>27</v>
      </c>
    </row>
    <row r="61" spans="1:10" x14ac:dyDescent="0.3">
      <c r="A61" t="s">
        <v>203</v>
      </c>
      <c r="B61" t="s">
        <v>204</v>
      </c>
      <c r="C61" t="s">
        <v>205</v>
      </c>
      <c r="D61" t="s">
        <v>20</v>
      </c>
      <c r="E61" t="s">
        <v>26</v>
      </c>
      <c r="F61">
        <v>7</v>
      </c>
      <c r="G61">
        <v>1454</v>
      </c>
      <c r="H61">
        <v>10178</v>
      </c>
      <c r="I61" t="s">
        <v>39</v>
      </c>
      <c r="J61" t="s">
        <v>16</v>
      </c>
    </row>
    <row r="62" spans="1:10" x14ac:dyDescent="0.3">
      <c r="A62" t="s">
        <v>206</v>
      </c>
      <c r="B62" t="s">
        <v>207</v>
      </c>
      <c r="C62" t="s">
        <v>208</v>
      </c>
      <c r="D62" t="s">
        <v>44</v>
      </c>
      <c r="E62" t="s">
        <v>45</v>
      </c>
      <c r="F62">
        <v>4</v>
      </c>
      <c r="G62">
        <v>1433</v>
      </c>
      <c r="H62">
        <v>5732</v>
      </c>
      <c r="I62" t="s">
        <v>15</v>
      </c>
      <c r="J62" t="s">
        <v>40</v>
      </c>
    </row>
    <row r="63" spans="1:10" x14ac:dyDescent="0.3">
      <c r="A63" t="s">
        <v>209</v>
      </c>
      <c r="B63" t="s">
        <v>210</v>
      </c>
      <c r="C63" t="s">
        <v>211</v>
      </c>
      <c r="D63" t="s">
        <v>49</v>
      </c>
      <c r="E63" t="s">
        <v>45</v>
      </c>
      <c r="F63">
        <v>9</v>
      </c>
      <c r="G63">
        <v>1993</v>
      </c>
      <c r="H63">
        <v>17937</v>
      </c>
      <c r="I63" t="s">
        <v>21</v>
      </c>
      <c r="J63" t="s">
        <v>40</v>
      </c>
    </row>
    <row r="64" spans="1:10" x14ac:dyDescent="0.3">
      <c r="A64" t="s">
        <v>212</v>
      </c>
      <c r="B64" t="s">
        <v>213</v>
      </c>
      <c r="C64" t="s">
        <v>214</v>
      </c>
      <c r="D64" t="s">
        <v>44</v>
      </c>
      <c r="E64" t="s">
        <v>45</v>
      </c>
      <c r="F64">
        <v>7</v>
      </c>
      <c r="G64">
        <v>299</v>
      </c>
      <c r="H64">
        <v>2093</v>
      </c>
      <c r="I64" t="s">
        <v>53</v>
      </c>
      <c r="J64" t="s">
        <v>16</v>
      </c>
    </row>
    <row r="65" spans="1:10" x14ac:dyDescent="0.3">
      <c r="A65" t="s">
        <v>215</v>
      </c>
      <c r="B65" t="s">
        <v>216</v>
      </c>
      <c r="C65" t="s">
        <v>217</v>
      </c>
      <c r="D65" t="s">
        <v>49</v>
      </c>
      <c r="E65" t="s">
        <v>26</v>
      </c>
      <c r="F65">
        <v>2</v>
      </c>
      <c r="G65">
        <v>1354</v>
      </c>
      <c r="H65">
        <v>2708</v>
      </c>
      <c r="I65" t="s">
        <v>39</v>
      </c>
      <c r="J65" t="s">
        <v>27</v>
      </c>
    </row>
    <row r="66" spans="1:10" x14ac:dyDescent="0.3">
      <c r="A66" t="s">
        <v>218</v>
      </c>
      <c r="B66" t="s">
        <v>219</v>
      </c>
      <c r="C66" t="s">
        <v>220</v>
      </c>
      <c r="D66" t="s">
        <v>20</v>
      </c>
      <c r="E66" t="s">
        <v>45</v>
      </c>
      <c r="F66">
        <v>5</v>
      </c>
      <c r="G66">
        <v>1228</v>
      </c>
      <c r="H66">
        <v>6140</v>
      </c>
      <c r="I66" t="s">
        <v>21</v>
      </c>
      <c r="J66" t="s">
        <v>16</v>
      </c>
    </row>
    <row r="67" spans="1:10" x14ac:dyDescent="0.3">
      <c r="A67" t="s">
        <v>221</v>
      </c>
      <c r="B67" t="s">
        <v>222</v>
      </c>
      <c r="C67" t="s">
        <v>223</v>
      </c>
      <c r="D67" t="s">
        <v>44</v>
      </c>
      <c r="E67" t="s">
        <v>45</v>
      </c>
      <c r="F67">
        <v>3</v>
      </c>
      <c r="G67">
        <v>1616</v>
      </c>
      <c r="H67">
        <v>4848</v>
      </c>
      <c r="I67" t="s">
        <v>53</v>
      </c>
      <c r="J67" t="s">
        <v>40</v>
      </c>
    </row>
    <row r="68" spans="1:10" x14ac:dyDescent="0.3">
      <c r="A68" t="s">
        <v>224</v>
      </c>
      <c r="B68" t="s">
        <v>225</v>
      </c>
      <c r="C68" t="s">
        <v>226</v>
      </c>
      <c r="D68" t="s">
        <v>44</v>
      </c>
      <c r="E68" t="s">
        <v>31</v>
      </c>
      <c r="F68">
        <v>2</v>
      </c>
      <c r="G68">
        <v>952</v>
      </c>
      <c r="H68">
        <v>1904</v>
      </c>
      <c r="I68" t="s">
        <v>21</v>
      </c>
      <c r="J68" t="s">
        <v>27</v>
      </c>
    </row>
    <row r="69" spans="1:10" x14ac:dyDescent="0.3">
      <c r="A69" t="s">
        <v>227</v>
      </c>
      <c r="B69" t="s">
        <v>228</v>
      </c>
      <c r="C69" t="s">
        <v>229</v>
      </c>
      <c r="D69" t="s">
        <v>44</v>
      </c>
      <c r="E69" t="s">
        <v>26</v>
      </c>
      <c r="F69">
        <v>10</v>
      </c>
      <c r="G69">
        <v>447</v>
      </c>
      <c r="H69">
        <v>4470</v>
      </c>
      <c r="I69" t="s">
        <v>67</v>
      </c>
      <c r="J69" t="s">
        <v>27</v>
      </c>
    </row>
    <row r="70" spans="1:10" x14ac:dyDescent="0.3">
      <c r="A70" t="s">
        <v>230</v>
      </c>
      <c r="B70" t="s">
        <v>231</v>
      </c>
      <c r="C70" t="s">
        <v>232</v>
      </c>
      <c r="D70" t="s">
        <v>44</v>
      </c>
      <c r="E70" t="s">
        <v>86</v>
      </c>
      <c r="F70">
        <v>7</v>
      </c>
      <c r="G70">
        <v>412</v>
      </c>
      <c r="H70">
        <v>2884</v>
      </c>
      <c r="I70" t="s">
        <v>39</v>
      </c>
      <c r="J70" t="s">
        <v>40</v>
      </c>
    </row>
    <row r="71" spans="1:10" x14ac:dyDescent="0.3">
      <c r="A71" t="s">
        <v>233</v>
      </c>
      <c r="B71" t="s">
        <v>234</v>
      </c>
      <c r="C71" t="s">
        <v>235</v>
      </c>
      <c r="D71" t="s">
        <v>20</v>
      </c>
      <c r="E71" t="s">
        <v>26</v>
      </c>
      <c r="F71">
        <v>6</v>
      </c>
      <c r="G71">
        <v>1276</v>
      </c>
      <c r="H71">
        <v>7656</v>
      </c>
      <c r="I71" t="s">
        <v>53</v>
      </c>
      <c r="J71" t="s">
        <v>22</v>
      </c>
    </row>
    <row r="72" spans="1:10" x14ac:dyDescent="0.3">
      <c r="A72" t="s">
        <v>236</v>
      </c>
      <c r="B72" t="s">
        <v>237</v>
      </c>
      <c r="C72" t="s">
        <v>238</v>
      </c>
      <c r="D72" t="s">
        <v>44</v>
      </c>
      <c r="E72" t="s">
        <v>60</v>
      </c>
      <c r="F72">
        <v>9</v>
      </c>
      <c r="G72">
        <v>1100</v>
      </c>
      <c r="H72">
        <v>9900</v>
      </c>
      <c r="I72" t="s">
        <v>39</v>
      </c>
      <c r="J72" t="s">
        <v>22</v>
      </c>
    </row>
    <row r="73" spans="1:10" x14ac:dyDescent="0.3">
      <c r="A73" t="s">
        <v>239</v>
      </c>
      <c r="B73" t="s">
        <v>240</v>
      </c>
      <c r="C73" t="s">
        <v>241</v>
      </c>
      <c r="D73" t="s">
        <v>13</v>
      </c>
      <c r="E73" t="s">
        <v>60</v>
      </c>
      <c r="F73">
        <v>2</v>
      </c>
      <c r="G73">
        <v>1810</v>
      </c>
      <c r="H73">
        <v>3620</v>
      </c>
      <c r="I73" t="s">
        <v>35</v>
      </c>
      <c r="J73" t="s">
        <v>27</v>
      </c>
    </row>
    <row r="74" spans="1:10" x14ac:dyDescent="0.3">
      <c r="A74" t="s">
        <v>242</v>
      </c>
      <c r="B74" t="s">
        <v>243</v>
      </c>
      <c r="C74" t="s">
        <v>244</v>
      </c>
      <c r="D74" t="s">
        <v>44</v>
      </c>
      <c r="E74" t="s">
        <v>86</v>
      </c>
      <c r="F74">
        <v>8</v>
      </c>
      <c r="G74">
        <v>678</v>
      </c>
      <c r="H74">
        <v>5424</v>
      </c>
      <c r="I74" t="s">
        <v>53</v>
      </c>
      <c r="J74" t="s">
        <v>27</v>
      </c>
    </row>
    <row r="75" spans="1:10" x14ac:dyDescent="0.3">
      <c r="A75" t="s">
        <v>245</v>
      </c>
      <c r="B75" t="s">
        <v>246</v>
      </c>
      <c r="C75" t="s">
        <v>247</v>
      </c>
      <c r="D75" t="s">
        <v>44</v>
      </c>
      <c r="E75" t="s">
        <v>14</v>
      </c>
      <c r="F75">
        <v>8</v>
      </c>
      <c r="G75">
        <v>183</v>
      </c>
      <c r="H75">
        <v>1464</v>
      </c>
      <c r="I75" t="s">
        <v>15</v>
      </c>
      <c r="J75" t="s">
        <v>16</v>
      </c>
    </row>
    <row r="76" spans="1:10" x14ac:dyDescent="0.3">
      <c r="A76" t="s">
        <v>248</v>
      </c>
      <c r="B76" t="s">
        <v>249</v>
      </c>
      <c r="C76" t="s">
        <v>250</v>
      </c>
      <c r="D76" t="s">
        <v>49</v>
      </c>
      <c r="E76" t="s">
        <v>26</v>
      </c>
      <c r="F76">
        <v>9</v>
      </c>
      <c r="G76">
        <v>433</v>
      </c>
      <c r="H76">
        <v>3897</v>
      </c>
      <c r="I76" t="s">
        <v>21</v>
      </c>
      <c r="J76" t="s">
        <v>40</v>
      </c>
    </row>
    <row r="77" spans="1:10" x14ac:dyDescent="0.3">
      <c r="A77" t="s">
        <v>251</v>
      </c>
      <c r="B77" t="s">
        <v>252</v>
      </c>
      <c r="C77" t="s">
        <v>253</v>
      </c>
      <c r="D77" t="s">
        <v>13</v>
      </c>
      <c r="E77" t="s">
        <v>14</v>
      </c>
      <c r="F77">
        <v>6</v>
      </c>
      <c r="G77">
        <v>1799</v>
      </c>
      <c r="H77">
        <v>10794</v>
      </c>
      <c r="I77" t="s">
        <v>67</v>
      </c>
      <c r="J77" t="s">
        <v>22</v>
      </c>
    </row>
    <row r="78" spans="1:10" x14ac:dyDescent="0.3">
      <c r="A78" t="s">
        <v>254</v>
      </c>
      <c r="B78" t="s">
        <v>255</v>
      </c>
      <c r="C78" t="s">
        <v>256</v>
      </c>
      <c r="D78" t="s">
        <v>20</v>
      </c>
      <c r="E78" t="s">
        <v>31</v>
      </c>
      <c r="F78">
        <v>6</v>
      </c>
      <c r="G78">
        <v>266</v>
      </c>
      <c r="H78">
        <v>1596</v>
      </c>
      <c r="I78" t="s">
        <v>67</v>
      </c>
      <c r="J78" t="s">
        <v>22</v>
      </c>
    </row>
    <row r="79" spans="1:10" x14ac:dyDescent="0.3">
      <c r="A79" t="s">
        <v>257</v>
      </c>
      <c r="B79" t="s">
        <v>249</v>
      </c>
      <c r="C79" t="s">
        <v>258</v>
      </c>
      <c r="D79" t="s">
        <v>13</v>
      </c>
      <c r="E79" t="s">
        <v>86</v>
      </c>
      <c r="F79">
        <v>6</v>
      </c>
      <c r="G79">
        <v>1703</v>
      </c>
      <c r="H79">
        <v>10218</v>
      </c>
      <c r="I79" t="s">
        <v>21</v>
      </c>
      <c r="J79" t="s">
        <v>22</v>
      </c>
    </row>
    <row r="80" spans="1:10" x14ac:dyDescent="0.3">
      <c r="A80" t="s">
        <v>259</v>
      </c>
      <c r="B80" t="s">
        <v>260</v>
      </c>
      <c r="C80" t="s">
        <v>261</v>
      </c>
      <c r="D80" t="s">
        <v>13</v>
      </c>
      <c r="E80" t="s">
        <v>86</v>
      </c>
      <c r="F80">
        <v>7</v>
      </c>
      <c r="G80">
        <v>511</v>
      </c>
      <c r="H80">
        <v>3577</v>
      </c>
      <c r="I80" t="s">
        <v>67</v>
      </c>
      <c r="J80" t="s">
        <v>40</v>
      </c>
    </row>
    <row r="81" spans="1:10" x14ac:dyDescent="0.3">
      <c r="A81" t="s">
        <v>262</v>
      </c>
      <c r="B81" t="s">
        <v>263</v>
      </c>
      <c r="C81" t="s">
        <v>264</v>
      </c>
      <c r="D81" t="s">
        <v>13</v>
      </c>
      <c r="E81" t="s">
        <v>86</v>
      </c>
      <c r="F81">
        <v>2</v>
      </c>
      <c r="G81">
        <v>382</v>
      </c>
      <c r="H81">
        <v>764</v>
      </c>
      <c r="I81" t="s">
        <v>15</v>
      </c>
      <c r="J81" t="s">
        <v>40</v>
      </c>
    </row>
    <row r="82" spans="1:10" x14ac:dyDescent="0.3">
      <c r="A82" t="s">
        <v>265</v>
      </c>
      <c r="B82" t="s">
        <v>266</v>
      </c>
      <c r="C82" t="s">
        <v>267</v>
      </c>
      <c r="D82" t="s">
        <v>49</v>
      </c>
      <c r="E82" t="s">
        <v>45</v>
      </c>
      <c r="F82">
        <v>1</v>
      </c>
      <c r="G82">
        <v>475</v>
      </c>
      <c r="H82">
        <v>475</v>
      </c>
      <c r="I82" t="s">
        <v>67</v>
      </c>
      <c r="J82" t="s">
        <v>40</v>
      </c>
    </row>
    <row r="83" spans="1:10" x14ac:dyDescent="0.3">
      <c r="A83" t="s">
        <v>268</v>
      </c>
      <c r="B83" t="s">
        <v>269</v>
      </c>
      <c r="C83" t="s">
        <v>270</v>
      </c>
      <c r="D83" t="s">
        <v>13</v>
      </c>
      <c r="E83" t="s">
        <v>60</v>
      </c>
      <c r="F83">
        <v>10</v>
      </c>
      <c r="G83">
        <v>1023</v>
      </c>
      <c r="H83">
        <v>10230</v>
      </c>
      <c r="I83" t="s">
        <v>67</v>
      </c>
      <c r="J83" t="s">
        <v>16</v>
      </c>
    </row>
    <row r="84" spans="1:10" x14ac:dyDescent="0.3">
      <c r="A84" t="s">
        <v>271</v>
      </c>
      <c r="B84" t="s">
        <v>272</v>
      </c>
      <c r="C84" t="s">
        <v>273</v>
      </c>
      <c r="D84" t="s">
        <v>49</v>
      </c>
      <c r="E84" t="s">
        <v>26</v>
      </c>
      <c r="F84">
        <v>1</v>
      </c>
      <c r="G84">
        <v>1993</v>
      </c>
      <c r="H84">
        <v>1993</v>
      </c>
      <c r="I84" t="s">
        <v>35</v>
      </c>
      <c r="J84" t="s">
        <v>22</v>
      </c>
    </row>
    <row r="85" spans="1:10" x14ac:dyDescent="0.3">
      <c r="A85" t="s">
        <v>274</v>
      </c>
      <c r="B85" t="s">
        <v>187</v>
      </c>
      <c r="C85" t="s">
        <v>275</v>
      </c>
      <c r="D85" t="s">
        <v>20</v>
      </c>
      <c r="E85" t="s">
        <v>60</v>
      </c>
      <c r="F85">
        <v>7</v>
      </c>
      <c r="G85">
        <v>407</v>
      </c>
      <c r="H85">
        <v>2849</v>
      </c>
      <c r="I85" t="s">
        <v>39</v>
      </c>
      <c r="J85" t="s">
        <v>27</v>
      </c>
    </row>
    <row r="86" spans="1:10" x14ac:dyDescent="0.3">
      <c r="A86" t="s">
        <v>276</v>
      </c>
      <c r="B86" t="s">
        <v>277</v>
      </c>
      <c r="C86" t="s">
        <v>278</v>
      </c>
      <c r="D86" t="s">
        <v>44</v>
      </c>
      <c r="E86" t="s">
        <v>31</v>
      </c>
      <c r="F86">
        <v>7</v>
      </c>
      <c r="G86">
        <v>257</v>
      </c>
      <c r="H86">
        <v>1799</v>
      </c>
      <c r="I86" t="s">
        <v>35</v>
      </c>
      <c r="J86" t="s">
        <v>27</v>
      </c>
    </row>
    <row r="87" spans="1:10" x14ac:dyDescent="0.3">
      <c r="A87" t="s">
        <v>279</v>
      </c>
      <c r="B87" t="s">
        <v>280</v>
      </c>
      <c r="C87" t="s">
        <v>281</v>
      </c>
      <c r="D87" t="s">
        <v>13</v>
      </c>
      <c r="E87" t="s">
        <v>86</v>
      </c>
      <c r="F87">
        <v>10</v>
      </c>
      <c r="G87">
        <v>286</v>
      </c>
      <c r="H87">
        <v>2860</v>
      </c>
      <c r="I87" t="s">
        <v>21</v>
      </c>
      <c r="J87" t="s">
        <v>27</v>
      </c>
    </row>
    <row r="88" spans="1:10" x14ac:dyDescent="0.3">
      <c r="A88" t="s">
        <v>282</v>
      </c>
      <c r="B88" t="s">
        <v>283</v>
      </c>
      <c r="C88" t="s">
        <v>284</v>
      </c>
      <c r="D88" t="s">
        <v>44</v>
      </c>
      <c r="E88" t="s">
        <v>26</v>
      </c>
      <c r="F88">
        <v>1</v>
      </c>
      <c r="G88">
        <v>1765</v>
      </c>
      <c r="H88">
        <v>1765</v>
      </c>
      <c r="I88" t="s">
        <v>39</v>
      </c>
      <c r="J88" t="s">
        <v>40</v>
      </c>
    </row>
    <row r="89" spans="1:10" x14ac:dyDescent="0.3">
      <c r="A89" t="s">
        <v>285</v>
      </c>
      <c r="B89" t="s">
        <v>286</v>
      </c>
      <c r="C89" t="s">
        <v>287</v>
      </c>
      <c r="D89" t="s">
        <v>44</v>
      </c>
      <c r="E89" t="s">
        <v>45</v>
      </c>
      <c r="F89">
        <v>6</v>
      </c>
      <c r="G89">
        <v>1964</v>
      </c>
      <c r="H89">
        <v>11784</v>
      </c>
      <c r="I89" t="s">
        <v>67</v>
      </c>
      <c r="J89" t="s">
        <v>27</v>
      </c>
    </row>
    <row r="90" spans="1:10" x14ac:dyDescent="0.3">
      <c r="A90" t="s">
        <v>288</v>
      </c>
      <c r="B90" t="s">
        <v>289</v>
      </c>
      <c r="C90" t="s">
        <v>290</v>
      </c>
      <c r="D90" t="s">
        <v>49</v>
      </c>
      <c r="E90" t="s">
        <v>86</v>
      </c>
      <c r="F90">
        <v>4</v>
      </c>
      <c r="G90">
        <v>1628</v>
      </c>
      <c r="H90">
        <v>6512</v>
      </c>
      <c r="I90" t="s">
        <v>35</v>
      </c>
      <c r="J90" t="s">
        <v>22</v>
      </c>
    </row>
    <row r="91" spans="1:10" x14ac:dyDescent="0.3">
      <c r="A91" t="s">
        <v>291</v>
      </c>
      <c r="B91" t="s">
        <v>33</v>
      </c>
      <c r="C91" t="s">
        <v>292</v>
      </c>
      <c r="D91" t="s">
        <v>49</v>
      </c>
      <c r="E91" t="s">
        <v>14</v>
      </c>
      <c r="F91">
        <v>5</v>
      </c>
      <c r="G91">
        <v>1526</v>
      </c>
      <c r="H91">
        <v>7630</v>
      </c>
      <c r="I91" t="s">
        <v>67</v>
      </c>
      <c r="J91" t="s">
        <v>16</v>
      </c>
    </row>
    <row r="92" spans="1:10" x14ac:dyDescent="0.3">
      <c r="A92" t="s">
        <v>293</v>
      </c>
      <c r="B92" t="s">
        <v>294</v>
      </c>
      <c r="C92" t="s">
        <v>295</v>
      </c>
      <c r="D92" t="s">
        <v>20</v>
      </c>
      <c r="E92" t="s">
        <v>60</v>
      </c>
      <c r="F92">
        <v>4</v>
      </c>
      <c r="G92">
        <v>1236</v>
      </c>
      <c r="H92">
        <v>4944</v>
      </c>
      <c r="I92" t="s">
        <v>21</v>
      </c>
      <c r="J92" t="s">
        <v>16</v>
      </c>
    </row>
    <row r="93" spans="1:10" x14ac:dyDescent="0.3">
      <c r="A93" t="s">
        <v>296</v>
      </c>
      <c r="B93" t="s">
        <v>297</v>
      </c>
      <c r="C93" t="s">
        <v>298</v>
      </c>
      <c r="D93" t="s">
        <v>49</v>
      </c>
      <c r="E93" t="s">
        <v>14</v>
      </c>
      <c r="F93">
        <v>7</v>
      </c>
      <c r="G93">
        <v>847</v>
      </c>
      <c r="H93">
        <v>5929</v>
      </c>
      <c r="I93" t="s">
        <v>53</v>
      </c>
      <c r="J93" t="s">
        <v>16</v>
      </c>
    </row>
    <row r="94" spans="1:10" x14ac:dyDescent="0.3">
      <c r="A94" t="s">
        <v>299</v>
      </c>
      <c r="B94" t="s">
        <v>277</v>
      </c>
      <c r="C94" t="s">
        <v>300</v>
      </c>
      <c r="D94" t="s">
        <v>44</v>
      </c>
      <c r="E94" t="s">
        <v>60</v>
      </c>
      <c r="F94">
        <v>1</v>
      </c>
      <c r="G94">
        <v>273</v>
      </c>
      <c r="H94">
        <v>273</v>
      </c>
      <c r="I94" t="s">
        <v>35</v>
      </c>
      <c r="J94" t="s">
        <v>16</v>
      </c>
    </row>
    <row r="95" spans="1:10" x14ac:dyDescent="0.3">
      <c r="A95" t="s">
        <v>301</v>
      </c>
      <c r="B95" t="s">
        <v>302</v>
      </c>
      <c r="C95" t="s">
        <v>303</v>
      </c>
      <c r="D95" t="s">
        <v>20</v>
      </c>
      <c r="E95" t="s">
        <v>26</v>
      </c>
      <c r="F95">
        <v>3</v>
      </c>
      <c r="G95">
        <v>1037</v>
      </c>
      <c r="H95">
        <v>3111</v>
      </c>
      <c r="I95" t="s">
        <v>21</v>
      </c>
      <c r="J95" t="s">
        <v>22</v>
      </c>
    </row>
    <row r="96" spans="1:10" x14ac:dyDescent="0.3">
      <c r="A96" t="s">
        <v>304</v>
      </c>
      <c r="B96" t="s">
        <v>305</v>
      </c>
      <c r="C96" t="s">
        <v>306</v>
      </c>
      <c r="D96" t="s">
        <v>20</v>
      </c>
      <c r="E96" t="s">
        <v>31</v>
      </c>
      <c r="F96">
        <v>8</v>
      </c>
      <c r="G96">
        <v>1202</v>
      </c>
      <c r="H96">
        <v>9616</v>
      </c>
      <c r="I96" t="s">
        <v>67</v>
      </c>
      <c r="J96" t="s">
        <v>16</v>
      </c>
    </row>
    <row r="97" spans="1:10" x14ac:dyDescent="0.3">
      <c r="A97" t="s">
        <v>307</v>
      </c>
      <c r="B97" t="s">
        <v>308</v>
      </c>
      <c r="C97" t="s">
        <v>309</v>
      </c>
      <c r="D97" t="s">
        <v>44</v>
      </c>
      <c r="E97" t="s">
        <v>60</v>
      </c>
      <c r="F97">
        <v>8</v>
      </c>
      <c r="G97">
        <v>1361</v>
      </c>
      <c r="H97">
        <v>10888</v>
      </c>
      <c r="I97" t="s">
        <v>53</v>
      </c>
      <c r="J97" t="s">
        <v>16</v>
      </c>
    </row>
    <row r="98" spans="1:10" x14ac:dyDescent="0.3">
      <c r="A98" t="s">
        <v>310</v>
      </c>
      <c r="B98" t="s">
        <v>311</v>
      </c>
      <c r="C98" t="s">
        <v>312</v>
      </c>
      <c r="D98" t="s">
        <v>44</v>
      </c>
      <c r="E98" t="s">
        <v>26</v>
      </c>
      <c r="F98">
        <v>7</v>
      </c>
      <c r="G98">
        <v>251</v>
      </c>
      <c r="H98">
        <v>1757</v>
      </c>
      <c r="I98" t="s">
        <v>15</v>
      </c>
      <c r="J98" t="s">
        <v>40</v>
      </c>
    </row>
    <row r="99" spans="1:10" x14ac:dyDescent="0.3">
      <c r="A99" t="s">
        <v>313</v>
      </c>
      <c r="B99" t="s">
        <v>314</v>
      </c>
      <c r="C99" t="s">
        <v>315</v>
      </c>
      <c r="D99" t="s">
        <v>49</v>
      </c>
      <c r="E99" t="s">
        <v>86</v>
      </c>
      <c r="F99">
        <v>1</v>
      </c>
      <c r="G99">
        <v>1131</v>
      </c>
      <c r="H99">
        <v>1131</v>
      </c>
      <c r="I99" t="s">
        <v>15</v>
      </c>
      <c r="J99" t="s">
        <v>40</v>
      </c>
    </row>
    <row r="100" spans="1:10" x14ac:dyDescent="0.3">
      <c r="A100" t="s">
        <v>316</v>
      </c>
      <c r="B100" t="s">
        <v>317</v>
      </c>
      <c r="C100" t="s">
        <v>318</v>
      </c>
      <c r="D100" t="s">
        <v>49</v>
      </c>
      <c r="E100" t="s">
        <v>14</v>
      </c>
      <c r="F100">
        <v>6</v>
      </c>
      <c r="G100">
        <v>776</v>
      </c>
      <c r="H100">
        <v>4656</v>
      </c>
      <c r="I100" t="s">
        <v>53</v>
      </c>
      <c r="J100" t="s">
        <v>16</v>
      </c>
    </row>
    <row r="101" spans="1:10" x14ac:dyDescent="0.3">
      <c r="A101" t="s">
        <v>319</v>
      </c>
      <c r="B101" t="s">
        <v>320</v>
      </c>
      <c r="C101" t="s">
        <v>321</v>
      </c>
      <c r="D101" t="s">
        <v>13</v>
      </c>
      <c r="E101" t="s">
        <v>14</v>
      </c>
      <c r="F101">
        <v>2</v>
      </c>
      <c r="G101">
        <v>681</v>
      </c>
      <c r="H101">
        <v>1362</v>
      </c>
      <c r="I101" t="s">
        <v>67</v>
      </c>
      <c r="J101" t="s">
        <v>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B85FE-3D90-4BCE-82C6-99EDE4FA05D6}">
  <dimension ref="A1:Q108"/>
  <sheetViews>
    <sheetView topLeftCell="G1" workbookViewId="0">
      <selection activeCell="P12" sqref="P12"/>
    </sheetView>
  </sheetViews>
  <sheetFormatPr defaultRowHeight="14.4" x14ac:dyDescent="0.3"/>
  <cols>
    <col min="1" max="1" width="13" bestFit="1" customWidth="1"/>
    <col min="2" max="2" width="15.109375" bestFit="1" customWidth="1"/>
    <col min="3" max="3" width="20.5546875" bestFit="1" customWidth="1"/>
    <col min="4" max="4" width="11.21875" bestFit="1" customWidth="1"/>
    <col min="5" max="5" width="12.109375" bestFit="1" customWidth="1"/>
    <col min="6" max="6" width="12.77734375" bestFit="1" customWidth="1"/>
    <col min="7" max="7" width="14.109375" bestFit="1" customWidth="1"/>
    <col min="8" max="8" width="12.77734375" bestFit="1" customWidth="1"/>
    <col min="9" max="9" width="15.44140625" bestFit="1" customWidth="1"/>
    <col min="10" max="10" width="20.88671875" bestFit="1" customWidth="1"/>
    <col min="12" max="12" width="15.5546875" customWidth="1"/>
    <col min="13" max="13" width="21.77734375" bestFit="1" customWidth="1"/>
    <col min="16" max="16" width="14.5546875" bestFit="1" customWidth="1"/>
    <col min="17" max="17" width="10.44140625" customWidth="1"/>
  </cols>
  <sheetData>
    <row r="1" spans="1:17" x14ac:dyDescent="0.3">
      <c r="A1" s="1" t="s">
        <v>324</v>
      </c>
      <c r="B1" s="1" t="s">
        <v>0</v>
      </c>
      <c r="C1" s="1" t="s">
        <v>1</v>
      </c>
      <c r="D1" s="1" t="s">
        <v>2</v>
      </c>
      <c r="E1" s="1" t="s">
        <v>3</v>
      </c>
      <c r="F1" s="1" t="s">
        <v>4</v>
      </c>
      <c r="G1" s="1" t="s">
        <v>5</v>
      </c>
      <c r="H1" s="1" t="s">
        <v>6</v>
      </c>
      <c r="I1" s="1" t="s">
        <v>7</v>
      </c>
      <c r="J1" s="1" t="s">
        <v>8</v>
      </c>
      <c r="K1" s="1" t="s">
        <v>9</v>
      </c>
      <c r="L1" s="2" t="s">
        <v>329</v>
      </c>
    </row>
    <row r="2" spans="1:17" x14ac:dyDescent="0.3">
      <c r="A2">
        <v>1</v>
      </c>
      <c r="B2" t="s">
        <v>10</v>
      </c>
      <c r="C2" t="s">
        <v>11</v>
      </c>
      <c r="D2" t="s">
        <v>12</v>
      </c>
      <c r="E2" t="s">
        <v>13</v>
      </c>
      <c r="F2" t="s">
        <v>14</v>
      </c>
      <c r="G2">
        <v>8</v>
      </c>
      <c r="H2">
        <v>960</v>
      </c>
      <c r="I2">
        <v>7680</v>
      </c>
      <c r="J2" t="s">
        <v>15</v>
      </c>
      <c r="K2" t="s">
        <v>16</v>
      </c>
      <c r="P2" t="s">
        <v>328</v>
      </c>
      <c r="Q2" t="s">
        <v>327</v>
      </c>
    </row>
    <row r="3" spans="1:17" x14ac:dyDescent="0.3">
      <c r="A3">
        <v>2</v>
      </c>
      <c r="B3" t="s">
        <v>17</v>
      </c>
      <c r="C3" t="s">
        <v>18</v>
      </c>
      <c r="D3" t="s">
        <v>19</v>
      </c>
      <c r="E3" t="s">
        <v>20</v>
      </c>
      <c r="F3" t="s">
        <v>14</v>
      </c>
      <c r="G3">
        <v>8</v>
      </c>
      <c r="H3">
        <v>897</v>
      </c>
      <c r="I3">
        <v>7176</v>
      </c>
      <c r="J3" t="s">
        <v>21</v>
      </c>
      <c r="K3" t="s">
        <v>22</v>
      </c>
      <c r="L3">
        <f>AVERAGE(I3:I96)</f>
        <v>5516.0957446808507</v>
      </c>
      <c r="P3" t="s">
        <v>322</v>
      </c>
      <c r="Q3">
        <f>SUM(Table13[Revenue])</f>
        <v>545987</v>
      </c>
    </row>
    <row r="4" spans="1:17" x14ac:dyDescent="0.3">
      <c r="A4">
        <v>3</v>
      </c>
      <c r="B4" t="s">
        <v>23</v>
      </c>
      <c r="C4" t="s">
        <v>24</v>
      </c>
      <c r="D4" t="s">
        <v>25</v>
      </c>
      <c r="E4" t="s">
        <v>13</v>
      </c>
      <c r="F4" t="s">
        <v>26</v>
      </c>
      <c r="G4">
        <v>6</v>
      </c>
      <c r="H4">
        <v>959</v>
      </c>
      <c r="I4">
        <v>5754</v>
      </c>
      <c r="J4" t="s">
        <v>21</v>
      </c>
      <c r="K4" t="s">
        <v>27</v>
      </c>
      <c r="L4">
        <f>AVERAGE(Table13[Revenue])</f>
        <v>5459.87</v>
      </c>
      <c r="P4" t="s">
        <v>323</v>
      </c>
      <c r="Q4">
        <f>COUNT(Table13[S.No])</f>
        <v>100</v>
      </c>
    </row>
    <row r="5" spans="1:17" x14ac:dyDescent="0.3">
      <c r="A5">
        <v>4</v>
      </c>
      <c r="B5" t="s">
        <v>28</v>
      </c>
      <c r="C5" t="s">
        <v>29</v>
      </c>
      <c r="D5" t="s">
        <v>30</v>
      </c>
      <c r="E5" t="s">
        <v>13</v>
      </c>
      <c r="F5" t="s">
        <v>31</v>
      </c>
      <c r="G5">
        <v>10</v>
      </c>
      <c r="H5">
        <v>1065</v>
      </c>
      <c r="I5">
        <v>10650</v>
      </c>
      <c r="J5" t="s">
        <v>21</v>
      </c>
      <c r="K5" t="s">
        <v>27</v>
      </c>
      <c r="P5" t="s">
        <v>325</v>
      </c>
      <c r="Q5">
        <f>MAX(Table13[Revenue])</f>
        <v>19600</v>
      </c>
    </row>
    <row r="6" spans="1:17" x14ac:dyDescent="0.3">
      <c r="A6">
        <v>5</v>
      </c>
      <c r="B6" t="s">
        <v>32</v>
      </c>
      <c r="C6" t="s">
        <v>33</v>
      </c>
      <c r="D6" t="s">
        <v>34</v>
      </c>
      <c r="E6" t="s">
        <v>20</v>
      </c>
      <c r="F6" t="s">
        <v>31</v>
      </c>
      <c r="G6">
        <v>4</v>
      </c>
      <c r="H6">
        <v>978</v>
      </c>
      <c r="I6">
        <v>3912</v>
      </c>
      <c r="J6" t="s">
        <v>35</v>
      </c>
      <c r="K6" t="s">
        <v>16</v>
      </c>
      <c r="P6" t="s">
        <v>326</v>
      </c>
      <c r="Q6">
        <f>MIN(Table13[Revenue])</f>
        <v>184</v>
      </c>
    </row>
    <row r="7" spans="1:17" x14ac:dyDescent="0.3">
      <c r="A7">
        <v>6</v>
      </c>
      <c r="B7" t="s">
        <v>36</v>
      </c>
      <c r="C7" t="s">
        <v>37</v>
      </c>
      <c r="D7" t="s">
        <v>38</v>
      </c>
      <c r="E7" t="s">
        <v>20</v>
      </c>
      <c r="F7" t="s">
        <v>14</v>
      </c>
      <c r="G7">
        <v>7</v>
      </c>
      <c r="H7">
        <v>785</v>
      </c>
      <c r="I7">
        <v>5495</v>
      </c>
      <c r="J7" t="s">
        <v>39</v>
      </c>
      <c r="K7" t="s">
        <v>40</v>
      </c>
    </row>
    <row r="8" spans="1:17" x14ac:dyDescent="0.3">
      <c r="A8">
        <v>7</v>
      </c>
      <c r="B8" t="s">
        <v>41</v>
      </c>
      <c r="C8" t="s">
        <v>42</v>
      </c>
      <c r="D8" t="s">
        <v>43</v>
      </c>
      <c r="E8" t="s">
        <v>44</v>
      </c>
      <c r="F8" t="s">
        <v>45</v>
      </c>
      <c r="G8">
        <v>4</v>
      </c>
      <c r="H8">
        <v>474</v>
      </c>
      <c r="I8">
        <v>1896</v>
      </c>
      <c r="J8" t="s">
        <v>15</v>
      </c>
      <c r="K8" t="s">
        <v>16</v>
      </c>
    </row>
    <row r="9" spans="1:17" x14ac:dyDescent="0.3">
      <c r="A9">
        <v>8</v>
      </c>
      <c r="B9" t="s">
        <v>46</v>
      </c>
      <c r="C9" t="s">
        <v>47</v>
      </c>
      <c r="D9" t="s">
        <v>48</v>
      </c>
      <c r="E9" t="s">
        <v>49</v>
      </c>
      <c r="F9" t="s">
        <v>14</v>
      </c>
      <c r="G9">
        <v>4</v>
      </c>
      <c r="H9">
        <v>1934</v>
      </c>
      <c r="I9">
        <v>7736</v>
      </c>
      <c r="J9" t="s">
        <v>15</v>
      </c>
      <c r="K9" t="s">
        <v>40</v>
      </c>
    </row>
    <row r="10" spans="1:17" x14ac:dyDescent="0.3">
      <c r="A10">
        <v>9</v>
      </c>
      <c r="B10" t="s">
        <v>50</v>
      </c>
      <c r="C10" t="s">
        <v>51</v>
      </c>
      <c r="D10" t="s">
        <v>52</v>
      </c>
      <c r="E10" t="s">
        <v>49</v>
      </c>
      <c r="F10" t="s">
        <v>31</v>
      </c>
      <c r="G10">
        <v>2</v>
      </c>
      <c r="H10">
        <v>599</v>
      </c>
      <c r="I10">
        <v>1198</v>
      </c>
      <c r="J10" t="s">
        <v>53</v>
      </c>
      <c r="K10" t="s">
        <v>27</v>
      </c>
    </row>
    <row r="11" spans="1:17" x14ac:dyDescent="0.3">
      <c r="A11">
        <v>10</v>
      </c>
      <c r="B11" t="s">
        <v>54</v>
      </c>
      <c r="C11" t="s">
        <v>55</v>
      </c>
      <c r="D11" t="s">
        <v>56</v>
      </c>
      <c r="E11" t="s">
        <v>20</v>
      </c>
      <c r="F11" t="s">
        <v>31</v>
      </c>
      <c r="G11">
        <v>6</v>
      </c>
      <c r="H11">
        <v>1476</v>
      </c>
      <c r="I11">
        <v>8856</v>
      </c>
      <c r="J11" t="s">
        <v>15</v>
      </c>
      <c r="K11" t="s">
        <v>40</v>
      </c>
    </row>
    <row r="12" spans="1:17" x14ac:dyDescent="0.3">
      <c r="A12">
        <v>11</v>
      </c>
      <c r="B12" t="s">
        <v>57</v>
      </c>
      <c r="C12" t="s">
        <v>58</v>
      </c>
      <c r="D12" t="s">
        <v>59</v>
      </c>
      <c r="E12" t="s">
        <v>49</v>
      </c>
      <c r="F12" t="s">
        <v>60</v>
      </c>
      <c r="G12">
        <v>5</v>
      </c>
      <c r="H12">
        <v>1331</v>
      </c>
      <c r="I12">
        <v>6655</v>
      </c>
      <c r="J12" t="s">
        <v>35</v>
      </c>
      <c r="K12" t="s">
        <v>27</v>
      </c>
    </row>
    <row r="13" spans="1:17" x14ac:dyDescent="0.3">
      <c r="A13">
        <v>12</v>
      </c>
      <c r="B13" t="s">
        <v>61</v>
      </c>
      <c r="C13" t="s">
        <v>62</v>
      </c>
      <c r="D13" t="s">
        <v>63</v>
      </c>
      <c r="E13" t="s">
        <v>13</v>
      </c>
      <c r="F13" t="s">
        <v>14</v>
      </c>
      <c r="G13">
        <v>5</v>
      </c>
      <c r="H13">
        <v>678</v>
      </c>
      <c r="I13">
        <v>3390</v>
      </c>
      <c r="J13" t="s">
        <v>35</v>
      </c>
      <c r="K13" t="s">
        <v>27</v>
      </c>
    </row>
    <row r="14" spans="1:17" x14ac:dyDescent="0.3">
      <c r="A14">
        <v>13</v>
      </c>
      <c r="B14" t="s">
        <v>64</v>
      </c>
      <c r="C14" t="s">
        <v>65</v>
      </c>
      <c r="D14" t="s">
        <v>66</v>
      </c>
      <c r="E14" t="s">
        <v>13</v>
      </c>
      <c r="F14" t="s">
        <v>60</v>
      </c>
      <c r="G14">
        <v>4</v>
      </c>
      <c r="H14">
        <v>1808</v>
      </c>
      <c r="I14">
        <v>7232</v>
      </c>
      <c r="J14" t="s">
        <v>67</v>
      </c>
      <c r="K14" t="s">
        <v>22</v>
      </c>
    </row>
    <row r="15" spans="1:17" x14ac:dyDescent="0.3">
      <c r="A15">
        <v>14</v>
      </c>
      <c r="B15" t="s">
        <v>68</v>
      </c>
      <c r="C15" t="s">
        <v>69</v>
      </c>
      <c r="D15" t="s">
        <v>70</v>
      </c>
      <c r="E15" t="s">
        <v>13</v>
      </c>
      <c r="F15" t="s">
        <v>45</v>
      </c>
      <c r="G15">
        <v>1</v>
      </c>
      <c r="H15">
        <v>1141</v>
      </c>
      <c r="I15">
        <v>1141</v>
      </c>
      <c r="J15" t="s">
        <v>67</v>
      </c>
      <c r="K15" t="s">
        <v>27</v>
      </c>
    </row>
    <row r="16" spans="1:17" x14ac:dyDescent="0.3">
      <c r="A16">
        <v>15</v>
      </c>
      <c r="B16" t="s">
        <v>71</v>
      </c>
      <c r="C16" t="s">
        <v>72</v>
      </c>
      <c r="D16" t="s">
        <v>73</v>
      </c>
      <c r="E16" t="s">
        <v>20</v>
      </c>
      <c r="F16" t="s">
        <v>31</v>
      </c>
      <c r="G16">
        <v>6</v>
      </c>
      <c r="H16">
        <v>1433</v>
      </c>
      <c r="I16">
        <v>8598</v>
      </c>
      <c r="J16" t="s">
        <v>15</v>
      </c>
      <c r="K16" t="s">
        <v>27</v>
      </c>
    </row>
    <row r="17" spans="1:12" x14ac:dyDescent="0.3">
      <c r="A17">
        <v>16</v>
      </c>
      <c r="B17" t="s">
        <v>74</v>
      </c>
      <c r="C17" t="s">
        <v>75</v>
      </c>
      <c r="D17" t="s">
        <v>76</v>
      </c>
      <c r="E17" t="s">
        <v>20</v>
      </c>
      <c r="F17" t="s">
        <v>14</v>
      </c>
      <c r="G17">
        <v>1</v>
      </c>
      <c r="H17">
        <v>1766</v>
      </c>
      <c r="I17">
        <v>1766</v>
      </c>
      <c r="J17" t="s">
        <v>39</v>
      </c>
      <c r="K17" t="s">
        <v>22</v>
      </c>
    </row>
    <row r="18" spans="1:12" x14ac:dyDescent="0.3">
      <c r="A18">
        <v>17</v>
      </c>
      <c r="B18" t="s">
        <v>77</v>
      </c>
      <c r="C18" t="s">
        <v>78</v>
      </c>
      <c r="D18" t="s">
        <v>79</v>
      </c>
      <c r="E18" t="s">
        <v>13</v>
      </c>
      <c r="F18" t="s">
        <v>14</v>
      </c>
      <c r="G18">
        <v>10</v>
      </c>
      <c r="H18">
        <v>1878</v>
      </c>
      <c r="I18">
        <v>18780</v>
      </c>
      <c r="J18" t="s">
        <v>21</v>
      </c>
      <c r="K18" t="s">
        <v>22</v>
      </c>
    </row>
    <row r="19" spans="1:12" x14ac:dyDescent="0.3">
      <c r="A19">
        <v>18</v>
      </c>
      <c r="B19" t="s">
        <v>80</v>
      </c>
      <c r="C19" t="s">
        <v>81</v>
      </c>
      <c r="D19" t="s">
        <v>82</v>
      </c>
      <c r="E19" t="s">
        <v>49</v>
      </c>
      <c r="F19" t="s">
        <v>14</v>
      </c>
      <c r="G19">
        <v>9</v>
      </c>
      <c r="H19">
        <v>1103</v>
      </c>
      <c r="I19">
        <v>9927</v>
      </c>
      <c r="J19" t="s">
        <v>53</v>
      </c>
      <c r="K19" t="s">
        <v>40</v>
      </c>
      <c r="L19">
        <f>AVERAGE(I9:I100)</f>
        <v>5457.195652173913</v>
      </c>
    </row>
    <row r="20" spans="1:12" x14ac:dyDescent="0.3">
      <c r="A20">
        <v>19</v>
      </c>
      <c r="B20" t="s">
        <v>83</v>
      </c>
      <c r="C20" t="s">
        <v>84</v>
      </c>
      <c r="D20" t="s">
        <v>85</v>
      </c>
      <c r="E20" t="s">
        <v>20</v>
      </c>
      <c r="F20" t="s">
        <v>86</v>
      </c>
      <c r="G20">
        <v>9</v>
      </c>
      <c r="H20">
        <v>921</v>
      </c>
      <c r="I20">
        <v>8289</v>
      </c>
      <c r="J20" t="s">
        <v>53</v>
      </c>
      <c r="K20" t="s">
        <v>40</v>
      </c>
    </row>
    <row r="21" spans="1:12" x14ac:dyDescent="0.3">
      <c r="A21">
        <v>20</v>
      </c>
      <c r="B21" t="s">
        <v>87</v>
      </c>
      <c r="C21" t="s">
        <v>88</v>
      </c>
      <c r="D21" t="s">
        <v>89</v>
      </c>
      <c r="E21" t="s">
        <v>49</v>
      </c>
      <c r="F21" t="s">
        <v>26</v>
      </c>
      <c r="G21">
        <v>3</v>
      </c>
      <c r="H21">
        <v>1080</v>
      </c>
      <c r="I21">
        <v>3240</v>
      </c>
      <c r="J21" t="s">
        <v>35</v>
      </c>
      <c r="K21" t="s">
        <v>40</v>
      </c>
    </row>
    <row r="22" spans="1:12" x14ac:dyDescent="0.3">
      <c r="A22">
        <v>21</v>
      </c>
      <c r="B22" t="s">
        <v>90</v>
      </c>
      <c r="C22" t="s">
        <v>91</v>
      </c>
      <c r="D22" t="s">
        <v>92</v>
      </c>
      <c r="E22" t="s">
        <v>20</v>
      </c>
      <c r="F22" t="s">
        <v>31</v>
      </c>
      <c r="G22">
        <v>6</v>
      </c>
      <c r="H22">
        <v>1764</v>
      </c>
      <c r="I22">
        <v>10584</v>
      </c>
      <c r="J22" t="s">
        <v>35</v>
      </c>
      <c r="K22" t="s">
        <v>40</v>
      </c>
    </row>
    <row r="23" spans="1:12" x14ac:dyDescent="0.3">
      <c r="A23">
        <v>22</v>
      </c>
      <c r="B23" t="s">
        <v>93</v>
      </c>
      <c r="C23" t="s">
        <v>65</v>
      </c>
      <c r="D23" t="s">
        <v>94</v>
      </c>
      <c r="E23" t="s">
        <v>44</v>
      </c>
      <c r="F23" t="s">
        <v>14</v>
      </c>
      <c r="G23">
        <v>10</v>
      </c>
      <c r="H23">
        <v>865</v>
      </c>
      <c r="I23">
        <v>8650</v>
      </c>
      <c r="J23" t="s">
        <v>67</v>
      </c>
      <c r="K23" t="s">
        <v>16</v>
      </c>
    </row>
    <row r="24" spans="1:12" x14ac:dyDescent="0.3">
      <c r="A24">
        <v>23</v>
      </c>
      <c r="B24" t="s">
        <v>95</v>
      </c>
      <c r="C24" t="s">
        <v>96</v>
      </c>
      <c r="D24" t="s">
        <v>97</v>
      </c>
      <c r="E24" t="s">
        <v>49</v>
      </c>
      <c r="F24" t="s">
        <v>60</v>
      </c>
      <c r="G24">
        <v>5</v>
      </c>
      <c r="H24">
        <v>1177</v>
      </c>
      <c r="I24">
        <v>5885</v>
      </c>
      <c r="J24" t="s">
        <v>15</v>
      </c>
      <c r="K24" t="s">
        <v>40</v>
      </c>
    </row>
    <row r="25" spans="1:12" x14ac:dyDescent="0.3">
      <c r="A25">
        <v>24</v>
      </c>
      <c r="B25" t="s">
        <v>98</v>
      </c>
      <c r="C25" t="s">
        <v>99</v>
      </c>
      <c r="D25" t="s">
        <v>100</v>
      </c>
      <c r="E25" t="s">
        <v>44</v>
      </c>
      <c r="F25" t="s">
        <v>31</v>
      </c>
      <c r="G25">
        <v>7</v>
      </c>
      <c r="H25">
        <v>888</v>
      </c>
      <c r="I25">
        <v>6216</v>
      </c>
      <c r="J25" t="s">
        <v>67</v>
      </c>
      <c r="K25" t="s">
        <v>16</v>
      </c>
      <c r="L25">
        <f>AVERAGE(I8:I98)</f>
        <v>5474.4065934065939</v>
      </c>
    </row>
    <row r="26" spans="1:12" x14ac:dyDescent="0.3">
      <c r="A26">
        <v>25</v>
      </c>
      <c r="B26" t="s">
        <v>101</v>
      </c>
      <c r="C26" t="s">
        <v>102</v>
      </c>
      <c r="D26" t="s">
        <v>103</v>
      </c>
      <c r="E26" t="s">
        <v>20</v>
      </c>
      <c r="F26" t="s">
        <v>14</v>
      </c>
      <c r="G26">
        <v>1</v>
      </c>
      <c r="H26">
        <v>1875</v>
      </c>
      <c r="I26">
        <v>1875</v>
      </c>
      <c r="J26" t="s">
        <v>39</v>
      </c>
      <c r="K26" t="s">
        <v>22</v>
      </c>
    </row>
    <row r="27" spans="1:12" x14ac:dyDescent="0.3">
      <c r="A27">
        <v>26</v>
      </c>
      <c r="B27" t="s">
        <v>104</v>
      </c>
      <c r="C27" t="s">
        <v>105</v>
      </c>
      <c r="D27" t="s">
        <v>106</v>
      </c>
      <c r="E27" t="s">
        <v>49</v>
      </c>
      <c r="F27" t="s">
        <v>31</v>
      </c>
      <c r="G27">
        <v>2</v>
      </c>
      <c r="H27">
        <v>1778</v>
      </c>
      <c r="I27">
        <v>3556</v>
      </c>
      <c r="J27" t="s">
        <v>39</v>
      </c>
      <c r="K27" t="s">
        <v>22</v>
      </c>
    </row>
    <row r="28" spans="1:12" x14ac:dyDescent="0.3">
      <c r="A28">
        <v>27</v>
      </c>
      <c r="B28" t="s">
        <v>107</v>
      </c>
      <c r="C28" t="s">
        <v>108</v>
      </c>
      <c r="D28" t="s">
        <v>109</v>
      </c>
      <c r="E28" t="s">
        <v>13</v>
      </c>
      <c r="F28" t="s">
        <v>14</v>
      </c>
      <c r="G28">
        <v>7</v>
      </c>
      <c r="H28">
        <v>291</v>
      </c>
      <c r="I28">
        <v>2037</v>
      </c>
      <c r="J28" t="s">
        <v>15</v>
      </c>
      <c r="K28" t="s">
        <v>40</v>
      </c>
    </row>
    <row r="29" spans="1:12" x14ac:dyDescent="0.3">
      <c r="A29">
        <v>28</v>
      </c>
      <c r="B29" t="s">
        <v>110</v>
      </c>
      <c r="C29" t="s">
        <v>111</v>
      </c>
      <c r="D29" t="s">
        <v>112</v>
      </c>
      <c r="E29" t="s">
        <v>13</v>
      </c>
      <c r="F29" t="s">
        <v>31</v>
      </c>
      <c r="G29">
        <v>10</v>
      </c>
      <c r="H29">
        <v>1960</v>
      </c>
      <c r="I29">
        <v>19600</v>
      </c>
      <c r="J29" t="s">
        <v>53</v>
      </c>
      <c r="K29" t="s">
        <v>22</v>
      </c>
    </row>
    <row r="30" spans="1:12" x14ac:dyDescent="0.3">
      <c r="A30">
        <v>29</v>
      </c>
      <c r="B30" t="s">
        <v>113</v>
      </c>
      <c r="C30" t="s">
        <v>114</v>
      </c>
      <c r="D30" t="s">
        <v>115</v>
      </c>
      <c r="E30" t="s">
        <v>20</v>
      </c>
      <c r="F30" t="s">
        <v>26</v>
      </c>
      <c r="G30">
        <v>3</v>
      </c>
      <c r="H30">
        <v>798</v>
      </c>
      <c r="I30">
        <v>2394</v>
      </c>
      <c r="J30" t="s">
        <v>15</v>
      </c>
      <c r="K30" t="s">
        <v>16</v>
      </c>
    </row>
    <row r="31" spans="1:12" x14ac:dyDescent="0.3">
      <c r="A31">
        <v>30</v>
      </c>
      <c r="B31" t="s">
        <v>116</v>
      </c>
      <c r="C31" t="s">
        <v>117</v>
      </c>
      <c r="D31" t="s">
        <v>118</v>
      </c>
      <c r="E31" t="s">
        <v>20</v>
      </c>
      <c r="F31" t="s">
        <v>26</v>
      </c>
      <c r="G31">
        <v>3</v>
      </c>
      <c r="H31">
        <v>1945</v>
      </c>
      <c r="I31">
        <v>5835</v>
      </c>
      <c r="J31" t="s">
        <v>21</v>
      </c>
      <c r="K31" t="s">
        <v>16</v>
      </c>
    </row>
    <row r="32" spans="1:12" x14ac:dyDescent="0.3">
      <c r="A32">
        <v>31</v>
      </c>
      <c r="B32" t="s">
        <v>119</v>
      </c>
      <c r="C32" t="s">
        <v>120</v>
      </c>
      <c r="D32" t="s">
        <v>121</v>
      </c>
      <c r="E32" t="s">
        <v>44</v>
      </c>
      <c r="F32" t="s">
        <v>26</v>
      </c>
      <c r="G32">
        <v>2</v>
      </c>
      <c r="H32">
        <v>1190</v>
      </c>
      <c r="I32">
        <v>2380</v>
      </c>
      <c r="J32" t="s">
        <v>35</v>
      </c>
      <c r="K32" t="s">
        <v>16</v>
      </c>
    </row>
    <row r="33" spans="1:11" x14ac:dyDescent="0.3">
      <c r="A33">
        <v>32</v>
      </c>
      <c r="B33" t="s">
        <v>122</v>
      </c>
      <c r="C33" t="s">
        <v>123</v>
      </c>
      <c r="D33" t="s">
        <v>124</v>
      </c>
      <c r="E33" t="s">
        <v>13</v>
      </c>
      <c r="F33" t="s">
        <v>26</v>
      </c>
      <c r="G33">
        <v>3</v>
      </c>
      <c r="H33">
        <v>1481</v>
      </c>
      <c r="I33">
        <v>4443</v>
      </c>
      <c r="J33" t="s">
        <v>39</v>
      </c>
      <c r="K33" t="s">
        <v>22</v>
      </c>
    </row>
    <row r="34" spans="1:11" x14ac:dyDescent="0.3">
      <c r="A34">
        <v>33</v>
      </c>
      <c r="B34" t="s">
        <v>125</v>
      </c>
      <c r="C34" t="s">
        <v>126</v>
      </c>
      <c r="D34" t="s">
        <v>127</v>
      </c>
      <c r="E34" t="s">
        <v>13</v>
      </c>
      <c r="F34" t="s">
        <v>60</v>
      </c>
      <c r="G34">
        <v>10</v>
      </c>
      <c r="H34">
        <v>1840</v>
      </c>
      <c r="I34">
        <v>18400</v>
      </c>
      <c r="J34" t="s">
        <v>39</v>
      </c>
      <c r="K34" t="s">
        <v>16</v>
      </c>
    </row>
    <row r="35" spans="1:11" x14ac:dyDescent="0.3">
      <c r="A35">
        <v>34</v>
      </c>
      <c r="B35" t="s">
        <v>128</v>
      </c>
      <c r="C35" t="s">
        <v>129</v>
      </c>
      <c r="D35" t="s">
        <v>130</v>
      </c>
      <c r="E35" t="s">
        <v>49</v>
      </c>
      <c r="F35" t="s">
        <v>86</v>
      </c>
      <c r="G35">
        <v>4</v>
      </c>
      <c r="H35">
        <v>285</v>
      </c>
      <c r="I35">
        <v>1140</v>
      </c>
      <c r="J35" t="s">
        <v>21</v>
      </c>
      <c r="K35" t="s">
        <v>22</v>
      </c>
    </row>
    <row r="36" spans="1:11" x14ac:dyDescent="0.3">
      <c r="A36">
        <v>35</v>
      </c>
      <c r="B36" t="s">
        <v>131</v>
      </c>
      <c r="C36" t="s">
        <v>132</v>
      </c>
      <c r="D36" t="s">
        <v>133</v>
      </c>
      <c r="E36" t="s">
        <v>49</v>
      </c>
      <c r="F36" t="s">
        <v>31</v>
      </c>
      <c r="G36">
        <v>7</v>
      </c>
      <c r="H36">
        <v>424</v>
      </c>
      <c r="I36">
        <v>2968</v>
      </c>
      <c r="J36" t="s">
        <v>39</v>
      </c>
      <c r="K36" t="s">
        <v>40</v>
      </c>
    </row>
    <row r="37" spans="1:11" x14ac:dyDescent="0.3">
      <c r="A37">
        <v>36</v>
      </c>
      <c r="B37" t="s">
        <v>134</v>
      </c>
      <c r="C37" t="s">
        <v>135</v>
      </c>
      <c r="D37" t="s">
        <v>136</v>
      </c>
      <c r="E37" t="s">
        <v>13</v>
      </c>
      <c r="F37" t="s">
        <v>86</v>
      </c>
      <c r="G37">
        <v>2</v>
      </c>
      <c r="H37">
        <v>1531</v>
      </c>
      <c r="I37">
        <v>3062</v>
      </c>
      <c r="J37" t="s">
        <v>53</v>
      </c>
      <c r="K37" t="s">
        <v>27</v>
      </c>
    </row>
    <row r="38" spans="1:11" x14ac:dyDescent="0.3">
      <c r="A38">
        <v>37</v>
      </c>
      <c r="B38" t="s">
        <v>137</v>
      </c>
      <c r="C38" t="s">
        <v>138</v>
      </c>
      <c r="D38" t="s">
        <v>139</v>
      </c>
      <c r="E38" t="s">
        <v>13</v>
      </c>
      <c r="F38" t="s">
        <v>45</v>
      </c>
      <c r="G38">
        <v>9</v>
      </c>
      <c r="H38">
        <v>256</v>
      </c>
      <c r="I38">
        <v>2304</v>
      </c>
      <c r="J38" t="s">
        <v>15</v>
      </c>
      <c r="K38" t="s">
        <v>40</v>
      </c>
    </row>
    <row r="39" spans="1:11" x14ac:dyDescent="0.3">
      <c r="A39">
        <v>38</v>
      </c>
      <c r="B39" t="s">
        <v>140</v>
      </c>
      <c r="C39" t="s">
        <v>141</v>
      </c>
      <c r="D39" t="s">
        <v>142</v>
      </c>
      <c r="E39" t="s">
        <v>13</v>
      </c>
      <c r="F39" t="s">
        <v>45</v>
      </c>
      <c r="G39">
        <v>10</v>
      </c>
      <c r="H39">
        <v>212</v>
      </c>
      <c r="I39">
        <v>2120</v>
      </c>
      <c r="J39" t="s">
        <v>39</v>
      </c>
      <c r="K39" t="s">
        <v>27</v>
      </c>
    </row>
    <row r="40" spans="1:11" x14ac:dyDescent="0.3">
      <c r="A40">
        <v>39</v>
      </c>
      <c r="B40" t="s">
        <v>143</v>
      </c>
      <c r="C40" t="s">
        <v>144</v>
      </c>
      <c r="D40" t="s">
        <v>145</v>
      </c>
      <c r="E40" t="s">
        <v>13</v>
      </c>
      <c r="F40" t="s">
        <v>31</v>
      </c>
      <c r="G40">
        <v>6</v>
      </c>
      <c r="H40">
        <v>753</v>
      </c>
      <c r="I40">
        <v>4518</v>
      </c>
      <c r="J40" t="s">
        <v>67</v>
      </c>
      <c r="K40" t="s">
        <v>16</v>
      </c>
    </row>
    <row r="41" spans="1:11" x14ac:dyDescent="0.3">
      <c r="A41">
        <v>40</v>
      </c>
      <c r="B41" t="s">
        <v>146</v>
      </c>
      <c r="C41" t="s">
        <v>147</v>
      </c>
      <c r="D41" t="s">
        <v>148</v>
      </c>
      <c r="E41" t="s">
        <v>20</v>
      </c>
      <c r="F41" t="s">
        <v>31</v>
      </c>
      <c r="G41">
        <v>4</v>
      </c>
      <c r="H41">
        <v>1443</v>
      </c>
      <c r="I41">
        <v>5772</v>
      </c>
      <c r="J41" t="s">
        <v>21</v>
      </c>
      <c r="K41" t="s">
        <v>16</v>
      </c>
    </row>
    <row r="42" spans="1:11" x14ac:dyDescent="0.3">
      <c r="A42">
        <v>41</v>
      </c>
      <c r="B42" t="s">
        <v>149</v>
      </c>
      <c r="C42" t="s">
        <v>150</v>
      </c>
      <c r="D42" t="s">
        <v>151</v>
      </c>
      <c r="E42" t="s">
        <v>13</v>
      </c>
      <c r="F42" t="s">
        <v>31</v>
      </c>
      <c r="G42">
        <v>3</v>
      </c>
      <c r="H42">
        <v>1930</v>
      </c>
      <c r="I42">
        <v>5790</v>
      </c>
      <c r="J42" t="s">
        <v>39</v>
      </c>
      <c r="K42" t="s">
        <v>16</v>
      </c>
    </row>
    <row r="43" spans="1:11" x14ac:dyDescent="0.3">
      <c r="A43">
        <v>42</v>
      </c>
      <c r="B43" t="s">
        <v>152</v>
      </c>
      <c r="C43" t="s">
        <v>120</v>
      </c>
      <c r="D43" t="s">
        <v>153</v>
      </c>
      <c r="E43" t="s">
        <v>49</v>
      </c>
      <c r="F43" t="s">
        <v>31</v>
      </c>
      <c r="G43">
        <v>9</v>
      </c>
      <c r="H43">
        <v>1394</v>
      </c>
      <c r="I43">
        <v>12546</v>
      </c>
      <c r="J43" t="s">
        <v>53</v>
      </c>
      <c r="K43" t="s">
        <v>22</v>
      </c>
    </row>
    <row r="44" spans="1:11" x14ac:dyDescent="0.3">
      <c r="A44">
        <v>43</v>
      </c>
      <c r="B44" t="s">
        <v>154</v>
      </c>
      <c r="C44" t="s">
        <v>155</v>
      </c>
      <c r="D44" t="s">
        <v>156</v>
      </c>
      <c r="E44" t="s">
        <v>20</v>
      </c>
      <c r="F44" t="s">
        <v>31</v>
      </c>
      <c r="G44">
        <v>3</v>
      </c>
      <c r="H44">
        <v>529</v>
      </c>
      <c r="I44">
        <v>1587</v>
      </c>
      <c r="J44" t="s">
        <v>15</v>
      </c>
      <c r="K44" t="s">
        <v>27</v>
      </c>
    </row>
    <row r="45" spans="1:11" x14ac:dyDescent="0.3">
      <c r="A45">
        <v>44</v>
      </c>
      <c r="B45" t="s">
        <v>157</v>
      </c>
      <c r="C45" t="s">
        <v>158</v>
      </c>
      <c r="D45" t="s">
        <v>159</v>
      </c>
      <c r="E45" t="s">
        <v>44</v>
      </c>
      <c r="F45" t="s">
        <v>26</v>
      </c>
      <c r="G45">
        <v>6</v>
      </c>
      <c r="H45">
        <v>1816</v>
      </c>
      <c r="I45">
        <v>10896</v>
      </c>
      <c r="J45" t="s">
        <v>15</v>
      </c>
      <c r="K45" t="s">
        <v>22</v>
      </c>
    </row>
    <row r="46" spans="1:11" x14ac:dyDescent="0.3">
      <c r="A46">
        <v>45</v>
      </c>
      <c r="B46" t="s">
        <v>160</v>
      </c>
      <c r="C46" t="s">
        <v>161</v>
      </c>
      <c r="D46" t="s">
        <v>162</v>
      </c>
      <c r="E46" t="s">
        <v>20</v>
      </c>
      <c r="F46" t="s">
        <v>14</v>
      </c>
      <c r="G46">
        <v>5</v>
      </c>
      <c r="H46">
        <v>1252</v>
      </c>
      <c r="I46">
        <v>6260</v>
      </c>
      <c r="J46" t="s">
        <v>67</v>
      </c>
      <c r="K46" t="s">
        <v>16</v>
      </c>
    </row>
    <row r="47" spans="1:11" x14ac:dyDescent="0.3">
      <c r="A47">
        <v>46</v>
      </c>
      <c r="B47" t="s">
        <v>163</v>
      </c>
      <c r="C47" t="s">
        <v>164</v>
      </c>
      <c r="D47" t="s">
        <v>165</v>
      </c>
      <c r="E47" t="s">
        <v>20</v>
      </c>
      <c r="F47" t="s">
        <v>86</v>
      </c>
      <c r="G47">
        <v>2</v>
      </c>
      <c r="H47">
        <v>1846</v>
      </c>
      <c r="I47">
        <v>3692</v>
      </c>
      <c r="J47" t="s">
        <v>35</v>
      </c>
      <c r="K47" t="s">
        <v>40</v>
      </c>
    </row>
    <row r="48" spans="1:11" x14ac:dyDescent="0.3">
      <c r="A48">
        <v>47</v>
      </c>
      <c r="B48" t="s">
        <v>166</v>
      </c>
      <c r="C48" t="s">
        <v>167</v>
      </c>
      <c r="D48" t="s">
        <v>168</v>
      </c>
      <c r="E48" t="s">
        <v>49</v>
      </c>
      <c r="F48" t="s">
        <v>86</v>
      </c>
      <c r="G48">
        <v>1</v>
      </c>
      <c r="H48">
        <v>1316</v>
      </c>
      <c r="I48">
        <v>1316</v>
      </c>
      <c r="J48" t="s">
        <v>21</v>
      </c>
      <c r="K48" t="s">
        <v>16</v>
      </c>
    </row>
    <row r="49" spans="1:11" x14ac:dyDescent="0.3">
      <c r="A49">
        <v>48</v>
      </c>
      <c r="B49" t="s">
        <v>169</v>
      </c>
      <c r="C49" t="s">
        <v>88</v>
      </c>
      <c r="D49" t="s">
        <v>170</v>
      </c>
      <c r="E49" t="s">
        <v>13</v>
      </c>
      <c r="F49" t="s">
        <v>31</v>
      </c>
      <c r="G49">
        <v>7</v>
      </c>
      <c r="H49">
        <v>1539</v>
      </c>
      <c r="I49">
        <v>10773</v>
      </c>
      <c r="J49" t="s">
        <v>15</v>
      </c>
      <c r="K49" t="s">
        <v>40</v>
      </c>
    </row>
    <row r="50" spans="1:11" x14ac:dyDescent="0.3">
      <c r="A50">
        <v>49</v>
      </c>
      <c r="B50" t="s">
        <v>171</v>
      </c>
      <c r="C50" t="s">
        <v>172</v>
      </c>
      <c r="D50" t="s">
        <v>173</v>
      </c>
      <c r="E50" t="s">
        <v>44</v>
      </c>
      <c r="F50" t="s">
        <v>14</v>
      </c>
      <c r="G50">
        <v>1</v>
      </c>
      <c r="H50">
        <v>184</v>
      </c>
      <c r="I50">
        <v>184</v>
      </c>
      <c r="J50" t="s">
        <v>35</v>
      </c>
      <c r="K50" t="s">
        <v>16</v>
      </c>
    </row>
    <row r="51" spans="1:11" x14ac:dyDescent="0.3">
      <c r="A51">
        <v>50</v>
      </c>
      <c r="B51" t="s">
        <v>174</v>
      </c>
      <c r="C51" t="s">
        <v>175</v>
      </c>
      <c r="D51" t="s">
        <v>176</v>
      </c>
      <c r="E51" t="s">
        <v>20</v>
      </c>
      <c r="F51" t="s">
        <v>45</v>
      </c>
      <c r="G51">
        <v>6</v>
      </c>
      <c r="H51">
        <v>1468</v>
      </c>
      <c r="I51">
        <v>8808</v>
      </c>
      <c r="J51" t="s">
        <v>35</v>
      </c>
      <c r="K51" t="s">
        <v>16</v>
      </c>
    </row>
    <row r="52" spans="1:11" x14ac:dyDescent="0.3">
      <c r="A52">
        <v>51</v>
      </c>
      <c r="B52" t="s">
        <v>177</v>
      </c>
      <c r="C52" t="s">
        <v>178</v>
      </c>
      <c r="D52" t="s">
        <v>179</v>
      </c>
      <c r="E52" t="s">
        <v>13</v>
      </c>
      <c r="F52" t="s">
        <v>60</v>
      </c>
      <c r="G52">
        <v>6</v>
      </c>
      <c r="H52">
        <v>536</v>
      </c>
      <c r="I52">
        <v>3216</v>
      </c>
      <c r="J52" t="s">
        <v>39</v>
      </c>
      <c r="K52" t="s">
        <v>22</v>
      </c>
    </row>
    <row r="53" spans="1:11" x14ac:dyDescent="0.3">
      <c r="A53">
        <v>52</v>
      </c>
      <c r="B53" t="s">
        <v>180</v>
      </c>
      <c r="C53" t="s">
        <v>181</v>
      </c>
      <c r="D53" t="s">
        <v>182</v>
      </c>
      <c r="E53" t="s">
        <v>49</v>
      </c>
      <c r="F53" t="s">
        <v>26</v>
      </c>
      <c r="G53">
        <v>2</v>
      </c>
      <c r="H53">
        <v>1214</v>
      </c>
      <c r="I53">
        <v>2428</v>
      </c>
      <c r="J53" t="s">
        <v>35</v>
      </c>
      <c r="K53" t="s">
        <v>22</v>
      </c>
    </row>
    <row r="54" spans="1:11" x14ac:dyDescent="0.3">
      <c r="A54">
        <v>53</v>
      </c>
      <c r="B54" t="s">
        <v>183</v>
      </c>
      <c r="C54" t="s">
        <v>184</v>
      </c>
      <c r="D54" t="s">
        <v>185</v>
      </c>
      <c r="E54" t="s">
        <v>13</v>
      </c>
      <c r="F54" t="s">
        <v>60</v>
      </c>
      <c r="G54">
        <v>5</v>
      </c>
      <c r="H54">
        <v>572</v>
      </c>
      <c r="I54">
        <v>2860</v>
      </c>
      <c r="J54" t="s">
        <v>67</v>
      </c>
      <c r="K54" t="s">
        <v>16</v>
      </c>
    </row>
    <row r="55" spans="1:11" x14ac:dyDescent="0.3">
      <c r="A55">
        <v>54</v>
      </c>
      <c r="B55" t="s">
        <v>186</v>
      </c>
      <c r="C55" t="s">
        <v>187</v>
      </c>
      <c r="D55" t="s">
        <v>188</v>
      </c>
      <c r="E55" t="s">
        <v>13</v>
      </c>
      <c r="F55" t="s">
        <v>26</v>
      </c>
      <c r="G55">
        <v>5</v>
      </c>
      <c r="H55">
        <v>275</v>
      </c>
      <c r="I55">
        <v>1375</v>
      </c>
      <c r="J55" t="s">
        <v>53</v>
      </c>
      <c r="K55" t="s">
        <v>22</v>
      </c>
    </row>
    <row r="56" spans="1:11" x14ac:dyDescent="0.3">
      <c r="A56">
        <v>55</v>
      </c>
      <c r="B56" t="s">
        <v>189</v>
      </c>
      <c r="C56" t="s">
        <v>190</v>
      </c>
      <c r="D56" t="s">
        <v>191</v>
      </c>
      <c r="E56" t="s">
        <v>20</v>
      </c>
      <c r="F56" t="s">
        <v>86</v>
      </c>
      <c r="G56">
        <v>3</v>
      </c>
      <c r="H56">
        <v>1329</v>
      </c>
      <c r="I56">
        <v>3987</v>
      </c>
      <c r="J56" t="s">
        <v>35</v>
      </c>
      <c r="K56" t="s">
        <v>22</v>
      </c>
    </row>
    <row r="57" spans="1:11" x14ac:dyDescent="0.3">
      <c r="A57">
        <v>56</v>
      </c>
      <c r="B57" t="s">
        <v>192</v>
      </c>
      <c r="C57" t="s">
        <v>29</v>
      </c>
      <c r="D57" t="s">
        <v>193</v>
      </c>
      <c r="E57" t="s">
        <v>49</v>
      </c>
      <c r="F57" t="s">
        <v>26</v>
      </c>
      <c r="G57">
        <v>4</v>
      </c>
      <c r="H57">
        <v>1586</v>
      </c>
      <c r="I57">
        <v>6344</v>
      </c>
      <c r="J57" t="s">
        <v>35</v>
      </c>
      <c r="K57" t="s">
        <v>27</v>
      </c>
    </row>
    <row r="58" spans="1:11" x14ac:dyDescent="0.3">
      <c r="A58">
        <v>57</v>
      </c>
      <c r="B58" t="s">
        <v>194</v>
      </c>
      <c r="C58" t="s">
        <v>195</v>
      </c>
      <c r="D58" t="s">
        <v>196</v>
      </c>
      <c r="E58" t="s">
        <v>49</v>
      </c>
      <c r="F58" t="s">
        <v>14</v>
      </c>
      <c r="G58">
        <v>6</v>
      </c>
      <c r="H58">
        <v>467</v>
      </c>
      <c r="I58">
        <v>2802</v>
      </c>
      <c r="J58" t="s">
        <v>35</v>
      </c>
      <c r="K58" t="s">
        <v>16</v>
      </c>
    </row>
    <row r="59" spans="1:11" x14ac:dyDescent="0.3">
      <c r="A59">
        <v>58</v>
      </c>
      <c r="B59" t="s">
        <v>197</v>
      </c>
      <c r="C59" t="s">
        <v>198</v>
      </c>
      <c r="D59" t="s">
        <v>199</v>
      </c>
      <c r="E59" t="s">
        <v>49</v>
      </c>
      <c r="F59" t="s">
        <v>86</v>
      </c>
      <c r="G59">
        <v>5</v>
      </c>
      <c r="H59">
        <v>1113</v>
      </c>
      <c r="I59">
        <v>5565</v>
      </c>
      <c r="J59" t="s">
        <v>15</v>
      </c>
      <c r="K59" t="s">
        <v>40</v>
      </c>
    </row>
    <row r="60" spans="1:11" x14ac:dyDescent="0.3">
      <c r="A60">
        <v>59</v>
      </c>
      <c r="B60" t="s">
        <v>200</v>
      </c>
      <c r="C60" t="s">
        <v>201</v>
      </c>
      <c r="D60" t="s">
        <v>202</v>
      </c>
      <c r="E60" t="s">
        <v>49</v>
      </c>
      <c r="F60" t="s">
        <v>14</v>
      </c>
      <c r="G60">
        <v>2</v>
      </c>
      <c r="H60">
        <v>1540</v>
      </c>
      <c r="I60">
        <v>3080</v>
      </c>
      <c r="J60" t="s">
        <v>21</v>
      </c>
      <c r="K60" t="s">
        <v>27</v>
      </c>
    </row>
    <row r="61" spans="1:11" x14ac:dyDescent="0.3">
      <c r="A61">
        <v>60</v>
      </c>
      <c r="B61" t="s">
        <v>203</v>
      </c>
      <c r="C61" t="s">
        <v>204</v>
      </c>
      <c r="D61" t="s">
        <v>205</v>
      </c>
      <c r="E61" t="s">
        <v>20</v>
      </c>
      <c r="F61" t="s">
        <v>26</v>
      </c>
      <c r="G61">
        <v>7</v>
      </c>
      <c r="H61">
        <v>1454</v>
      </c>
      <c r="I61">
        <v>10178</v>
      </c>
      <c r="J61" t="s">
        <v>39</v>
      </c>
      <c r="K61" t="s">
        <v>16</v>
      </c>
    </row>
    <row r="62" spans="1:11" x14ac:dyDescent="0.3">
      <c r="A62">
        <v>61</v>
      </c>
      <c r="B62" t="s">
        <v>206</v>
      </c>
      <c r="C62" t="s">
        <v>207</v>
      </c>
      <c r="D62" t="s">
        <v>208</v>
      </c>
      <c r="E62" t="s">
        <v>44</v>
      </c>
      <c r="F62" t="s">
        <v>45</v>
      </c>
      <c r="G62">
        <v>4</v>
      </c>
      <c r="H62">
        <v>1433</v>
      </c>
      <c r="I62">
        <v>5732</v>
      </c>
      <c r="J62" t="s">
        <v>15</v>
      </c>
      <c r="K62" t="s">
        <v>40</v>
      </c>
    </row>
    <row r="63" spans="1:11" x14ac:dyDescent="0.3">
      <c r="A63">
        <v>62</v>
      </c>
      <c r="B63" t="s">
        <v>209</v>
      </c>
      <c r="C63" t="s">
        <v>210</v>
      </c>
      <c r="D63" t="s">
        <v>211</v>
      </c>
      <c r="E63" t="s">
        <v>49</v>
      </c>
      <c r="F63" t="s">
        <v>45</v>
      </c>
      <c r="G63">
        <v>9</v>
      </c>
      <c r="H63">
        <v>1993</v>
      </c>
      <c r="I63">
        <v>17937</v>
      </c>
      <c r="J63" t="s">
        <v>21</v>
      </c>
      <c r="K63" t="s">
        <v>40</v>
      </c>
    </row>
    <row r="64" spans="1:11" x14ac:dyDescent="0.3">
      <c r="A64">
        <v>63</v>
      </c>
      <c r="B64" t="s">
        <v>212</v>
      </c>
      <c r="C64" t="s">
        <v>213</v>
      </c>
      <c r="D64" t="s">
        <v>214</v>
      </c>
      <c r="E64" t="s">
        <v>44</v>
      </c>
      <c r="F64" t="s">
        <v>45</v>
      </c>
      <c r="G64">
        <v>7</v>
      </c>
      <c r="H64">
        <v>299</v>
      </c>
      <c r="I64">
        <v>2093</v>
      </c>
      <c r="J64" t="s">
        <v>53</v>
      </c>
      <c r="K64" t="s">
        <v>16</v>
      </c>
    </row>
    <row r="65" spans="1:11" x14ac:dyDescent="0.3">
      <c r="A65">
        <v>64</v>
      </c>
      <c r="B65" t="s">
        <v>215</v>
      </c>
      <c r="C65" t="s">
        <v>216</v>
      </c>
      <c r="D65" t="s">
        <v>217</v>
      </c>
      <c r="E65" t="s">
        <v>49</v>
      </c>
      <c r="F65" t="s">
        <v>26</v>
      </c>
      <c r="G65">
        <v>2</v>
      </c>
      <c r="H65">
        <v>1354</v>
      </c>
      <c r="I65">
        <v>2708</v>
      </c>
      <c r="J65" t="s">
        <v>39</v>
      </c>
      <c r="K65" t="s">
        <v>27</v>
      </c>
    </row>
    <row r="66" spans="1:11" x14ac:dyDescent="0.3">
      <c r="A66">
        <v>65</v>
      </c>
      <c r="B66" t="s">
        <v>218</v>
      </c>
      <c r="C66" t="s">
        <v>219</v>
      </c>
      <c r="D66" t="s">
        <v>220</v>
      </c>
      <c r="E66" t="s">
        <v>20</v>
      </c>
      <c r="F66" t="s">
        <v>45</v>
      </c>
      <c r="G66">
        <v>5</v>
      </c>
      <c r="H66">
        <v>1228</v>
      </c>
      <c r="I66">
        <v>6140</v>
      </c>
      <c r="J66" t="s">
        <v>21</v>
      </c>
      <c r="K66" t="s">
        <v>16</v>
      </c>
    </row>
    <row r="67" spans="1:11" x14ac:dyDescent="0.3">
      <c r="A67">
        <v>66</v>
      </c>
      <c r="B67" t="s">
        <v>221</v>
      </c>
      <c r="C67" t="s">
        <v>222</v>
      </c>
      <c r="D67" t="s">
        <v>223</v>
      </c>
      <c r="E67" t="s">
        <v>44</v>
      </c>
      <c r="F67" t="s">
        <v>45</v>
      </c>
      <c r="G67">
        <v>3</v>
      </c>
      <c r="H67">
        <v>1616</v>
      </c>
      <c r="I67">
        <v>4848</v>
      </c>
      <c r="J67" t="s">
        <v>53</v>
      </c>
      <c r="K67" t="s">
        <v>40</v>
      </c>
    </row>
    <row r="68" spans="1:11" x14ac:dyDescent="0.3">
      <c r="A68">
        <v>67</v>
      </c>
      <c r="B68" t="s">
        <v>224</v>
      </c>
      <c r="C68" t="s">
        <v>225</v>
      </c>
      <c r="D68" t="s">
        <v>226</v>
      </c>
      <c r="E68" t="s">
        <v>44</v>
      </c>
      <c r="F68" t="s">
        <v>31</v>
      </c>
      <c r="G68">
        <v>2</v>
      </c>
      <c r="H68">
        <v>952</v>
      </c>
      <c r="I68">
        <v>1904</v>
      </c>
      <c r="J68" t="s">
        <v>21</v>
      </c>
      <c r="K68" t="s">
        <v>27</v>
      </c>
    </row>
    <row r="69" spans="1:11" x14ac:dyDescent="0.3">
      <c r="A69">
        <v>68</v>
      </c>
      <c r="B69" t="s">
        <v>227</v>
      </c>
      <c r="C69" t="s">
        <v>228</v>
      </c>
      <c r="D69" t="s">
        <v>229</v>
      </c>
      <c r="E69" t="s">
        <v>44</v>
      </c>
      <c r="F69" t="s">
        <v>26</v>
      </c>
      <c r="G69">
        <v>10</v>
      </c>
      <c r="H69">
        <v>447</v>
      </c>
      <c r="I69">
        <v>4470</v>
      </c>
      <c r="J69" t="s">
        <v>67</v>
      </c>
      <c r="K69" t="s">
        <v>27</v>
      </c>
    </row>
    <row r="70" spans="1:11" x14ac:dyDescent="0.3">
      <c r="A70">
        <v>69</v>
      </c>
      <c r="B70" t="s">
        <v>230</v>
      </c>
      <c r="C70" t="s">
        <v>231</v>
      </c>
      <c r="D70" t="s">
        <v>232</v>
      </c>
      <c r="E70" t="s">
        <v>44</v>
      </c>
      <c r="F70" t="s">
        <v>86</v>
      </c>
      <c r="G70">
        <v>7</v>
      </c>
      <c r="H70">
        <v>412</v>
      </c>
      <c r="I70">
        <v>2884</v>
      </c>
      <c r="J70" t="s">
        <v>39</v>
      </c>
      <c r="K70" t="s">
        <v>40</v>
      </c>
    </row>
    <row r="71" spans="1:11" x14ac:dyDescent="0.3">
      <c r="A71">
        <v>70</v>
      </c>
      <c r="B71" t="s">
        <v>233</v>
      </c>
      <c r="C71" t="s">
        <v>234</v>
      </c>
      <c r="D71" t="s">
        <v>235</v>
      </c>
      <c r="E71" t="s">
        <v>20</v>
      </c>
      <c r="F71" t="s">
        <v>26</v>
      </c>
      <c r="G71">
        <v>6</v>
      </c>
      <c r="H71">
        <v>1276</v>
      </c>
      <c r="I71">
        <v>7656</v>
      </c>
      <c r="J71" t="s">
        <v>53</v>
      </c>
      <c r="K71" t="s">
        <v>22</v>
      </c>
    </row>
    <row r="72" spans="1:11" x14ac:dyDescent="0.3">
      <c r="A72">
        <v>71</v>
      </c>
      <c r="B72" t="s">
        <v>236</v>
      </c>
      <c r="C72" t="s">
        <v>237</v>
      </c>
      <c r="D72" t="s">
        <v>238</v>
      </c>
      <c r="E72" t="s">
        <v>44</v>
      </c>
      <c r="F72" t="s">
        <v>60</v>
      </c>
      <c r="G72">
        <v>9</v>
      </c>
      <c r="H72">
        <v>1100</v>
      </c>
      <c r="I72">
        <v>9900</v>
      </c>
      <c r="J72" t="s">
        <v>39</v>
      </c>
      <c r="K72" t="s">
        <v>22</v>
      </c>
    </row>
    <row r="73" spans="1:11" x14ac:dyDescent="0.3">
      <c r="A73">
        <v>72</v>
      </c>
      <c r="B73" t="s">
        <v>239</v>
      </c>
      <c r="C73" t="s">
        <v>240</v>
      </c>
      <c r="D73" t="s">
        <v>241</v>
      </c>
      <c r="E73" t="s">
        <v>13</v>
      </c>
      <c r="F73" t="s">
        <v>60</v>
      </c>
      <c r="G73">
        <v>2</v>
      </c>
      <c r="H73">
        <v>1810</v>
      </c>
      <c r="I73">
        <v>3620</v>
      </c>
      <c r="J73" t="s">
        <v>35</v>
      </c>
      <c r="K73" t="s">
        <v>27</v>
      </c>
    </row>
    <row r="74" spans="1:11" x14ac:dyDescent="0.3">
      <c r="A74">
        <v>73</v>
      </c>
      <c r="B74" t="s">
        <v>242</v>
      </c>
      <c r="C74" t="s">
        <v>243</v>
      </c>
      <c r="D74" t="s">
        <v>244</v>
      </c>
      <c r="E74" t="s">
        <v>44</v>
      </c>
      <c r="F74" t="s">
        <v>86</v>
      </c>
      <c r="G74">
        <v>8</v>
      </c>
      <c r="H74">
        <v>678</v>
      </c>
      <c r="I74">
        <v>5424</v>
      </c>
      <c r="J74" t="s">
        <v>53</v>
      </c>
      <c r="K74" t="s">
        <v>27</v>
      </c>
    </row>
    <row r="75" spans="1:11" x14ac:dyDescent="0.3">
      <c r="A75">
        <v>74</v>
      </c>
      <c r="B75" t="s">
        <v>245</v>
      </c>
      <c r="C75" t="s">
        <v>246</v>
      </c>
      <c r="D75" t="s">
        <v>247</v>
      </c>
      <c r="E75" t="s">
        <v>44</v>
      </c>
      <c r="F75" t="s">
        <v>14</v>
      </c>
      <c r="G75">
        <v>8</v>
      </c>
      <c r="H75">
        <v>183</v>
      </c>
      <c r="I75">
        <v>1464</v>
      </c>
      <c r="J75" t="s">
        <v>15</v>
      </c>
      <c r="K75" t="s">
        <v>16</v>
      </c>
    </row>
    <row r="76" spans="1:11" x14ac:dyDescent="0.3">
      <c r="A76">
        <v>75</v>
      </c>
      <c r="B76" t="s">
        <v>248</v>
      </c>
      <c r="C76" t="s">
        <v>249</v>
      </c>
      <c r="D76" t="s">
        <v>250</v>
      </c>
      <c r="E76" t="s">
        <v>49</v>
      </c>
      <c r="F76" t="s">
        <v>26</v>
      </c>
      <c r="G76">
        <v>9</v>
      </c>
      <c r="H76">
        <v>433</v>
      </c>
      <c r="I76">
        <v>3897</v>
      </c>
      <c r="J76" t="s">
        <v>21</v>
      </c>
      <c r="K76" t="s">
        <v>40</v>
      </c>
    </row>
    <row r="77" spans="1:11" x14ac:dyDescent="0.3">
      <c r="A77">
        <v>76</v>
      </c>
      <c r="B77" t="s">
        <v>251</v>
      </c>
      <c r="C77" t="s">
        <v>252</v>
      </c>
      <c r="D77" t="s">
        <v>253</v>
      </c>
      <c r="E77" t="s">
        <v>13</v>
      </c>
      <c r="F77" t="s">
        <v>14</v>
      </c>
      <c r="G77">
        <v>6</v>
      </c>
      <c r="H77">
        <v>1799</v>
      </c>
      <c r="I77">
        <v>10794</v>
      </c>
      <c r="J77" t="s">
        <v>67</v>
      </c>
      <c r="K77" t="s">
        <v>22</v>
      </c>
    </row>
    <row r="78" spans="1:11" x14ac:dyDescent="0.3">
      <c r="A78">
        <v>77</v>
      </c>
      <c r="B78" t="s">
        <v>254</v>
      </c>
      <c r="C78" t="s">
        <v>255</v>
      </c>
      <c r="D78" t="s">
        <v>256</v>
      </c>
      <c r="E78" t="s">
        <v>20</v>
      </c>
      <c r="F78" t="s">
        <v>31</v>
      </c>
      <c r="G78">
        <v>6</v>
      </c>
      <c r="H78">
        <v>266</v>
      </c>
      <c r="I78">
        <v>1596</v>
      </c>
      <c r="J78" t="s">
        <v>67</v>
      </c>
      <c r="K78" t="s">
        <v>22</v>
      </c>
    </row>
    <row r="79" spans="1:11" x14ac:dyDescent="0.3">
      <c r="A79">
        <v>78</v>
      </c>
      <c r="B79" t="s">
        <v>257</v>
      </c>
      <c r="C79" t="s">
        <v>249</v>
      </c>
      <c r="D79" t="s">
        <v>258</v>
      </c>
      <c r="E79" t="s">
        <v>13</v>
      </c>
      <c r="F79" t="s">
        <v>86</v>
      </c>
      <c r="G79">
        <v>6</v>
      </c>
      <c r="H79">
        <v>1703</v>
      </c>
      <c r="I79">
        <v>10218</v>
      </c>
      <c r="J79" t="s">
        <v>21</v>
      </c>
      <c r="K79" t="s">
        <v>22</v>
      </c>
    </row>
    <row r="80" spans="1:11" x14ac:dyDescent="0.3">
      <c r="A80">
        <v>79</v>
      </c>
      <c r="B80" t="s">
        <v>259</v>
      </c>
      <c r="C80" t="s">
        <v>260</v>
      </c>
      <c r="D80" t="s">
        <v>261</v>
      </c>
      <c r="E80" t="s">
        <v>13</v>
      </c>
      <c r="F80" t="s">
        <v>86</v>
      </c>
      <c r="G80">
        <v>7</v>
      </c>
      <c r="H80">
        <v>511</v>
      </c>
      <c r="I80">
        <v>3577</v>
      </c>
      <c r="J80" t="s">
        <v>67</v>
      </c>
      <c r="K80" t="s">
        <v>40</v>
      </c>
    </row>
    <row r="81" spans="1:11" x14ac:dyDescent="0.3">
      <c r="A81">
        <v>80</v>
      </c>
      <c r="B81" t="s">
        <v>262</v>
      </c>
      <c r="C81" t="s">
        <v>263</v>
      </c>
      <c r="D81" t="s">
        <v>264</v>
      </c>
      <c r="E81" t="s">
        <v>13</v>
      </c>
      <c r="F81" t="s">
        <v>86</v>
      </c>
      <c r="G81">
        <v>2</v>
      </c>
      <c r="H81">
        <v>382</v>
      </c>
      <c r="I81">
        <v>764</v>
      </c>
      <c r="J81" t="s">
        <v>15</v>
      </c>
      <c r="K81" t="s">
        <v>40</v>
      </c>
    </row>
    <row r="82" spans="1:11" x14ac:dyDescent="0.3">
      <c r="A82">
        <v>81</v>
      </c>
      <c r="B82" t="s">
        <v>265</v>
      </c>
      <c r="C82" t="s">
        <v>266</v>
      </c>
      <c r="D82" t="s">
        <v>267</v>
      </c>
      <c r="E82" t="s">
        <v>49</v>
      </c>
      <c r="F82" t="s">
        <v>45</v>
      </c>
      <c r="G82">
        <v>1</v>
      </c>
      <c r="H82">
        <v>475</v>
      </c>
      <c r="I82">
        <v>475</v>
      </c>
      <c r="J82" t="s">
        <v>67</v>
      </c>
      <c r="K82" t="s">
        <v>40</v>
      </c>
    </row>
    <row r="83" spans="1:11" x14ac:dyDescent="0.3">
      <c r="A83">
        <v>82</v>
      </c>
      <c r="B83" t="s">
        <v>268</v>
      </c>
      <c r="C83" t="s">
        <v>269</v>
      </c>
      <c r="D83" t="s">
        <v>270</v>
      </c>
      <c r="E83" t="s">
        <v>13</v>
      </c>
      <c r="F83" t="s">
        <v>60</v>
      </c>
      <c r="G83">
        <v>10</v>
      </c>
      <c r="H83">
        <v>1023</v>
      </c>
      <c r="I83">
        <v>10230</v>
      </c>
      <c r="J83" t="s">
        <v>67</v>
      </c>
      <c r="K83" t="s">
        <v>16</v>
      </c>
    </row>
    <row r="84" spans="1:11" x14ac:dyDescent="0.3">
      <c r="A84">
        <v>83</v>
      </c>
      <c r="B84" t="s">
        <v>271</v>
      </c>
      <c r="C84" t="s">
        <v>272</v>
      </c>
      <c r="D84" t="s">
        <v>273</v>
      </c>
      <c r="E84" t="s">
        <v>49</v>
      </c>
      <c r="F84" t="s">
        <v>26</v>
      </c>
      <c r="G84">
        <v>1</v>
      </c>
      <c r="H84">
        <v>1993</v>
      </c>
      <c r="I84">
        <v>1993</v>
      </c>
      <c r="J84" t="s">
        <v>35</v>
      </c>
      <c r="K84" t="s">
        <v>22</v>
      </c>
    </row>
    <row r="85" spans="1:11" x14ac:dyDescent="0.3">
      <c r="A85">
        <v>84</v>
      </c>
      <c r="B85" t="s">
        <v>274</v>
      </c>
      <c r="C85" t="s">
        <v>187</v>
      </c>
      <c r="D85" t="s">
        <v>275</v>
      </c>
      <c r="E85" t="s">
        <v>20</v>
      </c>
      <c r="F85" t="s">
        <v>60</v>
      </c>
      <c r="G85">
        <v>7</v>
      </c>
      <c r="H85">
        <v>407</v>
      </c>
      <c r="I85">
        <v>2849</v>
      </c>
      <c r="J85" t="s">
        <v>39</v>
      </c>
      <c r="K85" t="s">
        <v>27</v>
      </c>
    </row>
    <row r="86" spans="1:11" x14ac:dyDescent="0.3">
      <c r="A86">
        <v>85</v>
      </c>
      <c r="B86" t="s">
        <v>276</v>
      </c>
      <c r="C86" t="s">
        <v>277</v>
      </c>
      <c r="D86" t="s">
        <v>278</v>
      </c>
      <c r="E86" t="s">
        <v>44</v>
      </c>
      <c r="F86" t="s">
        <v>31</v>
      </c>
      <c r="G86">
        <v>7</v>
      </c>
      <c r="H86">
        <v>257</v>
      </c>
      <c r="I86">
        <v>1799</v>
      </c>
      <c r="J86" t="s">
        <v>35</v>
      </c>
      <c r="K86" t="s">
        <v>27</v>
      </c>
    </row>
    <row r="87" spans="1:11" x14ac:dyDescent="0.3">
      <c r="A87">
        <v>86</v>
      </c>
      <c r="B87" t="s">
        <v>279</v>
      </c>
      <c r="C87" t="s">
        <v>280</v>
      </c>
      <c r="D87" t="s">
        <v>281</v>
      </c>
      <c r="E87" t="s">
        <v>13</v>
      </c>
      <c r="F87" t="s">
        <v>86</v>
      </c>
      <c r="G87">
        <v>10</v>
      </c>
      <c r="H87">
        <v>286</v>
      </c>
      <c r="I87">
        <v>2860</v>
      </c>
      <c r="J87" t="s">
        <v>21</v>
      </c>
      <c r="K87" t="s">
        <v>27</v>
      </c>
    </row>
    <row r="88" spans="1:11" x14ac:dyDescent="0.3">
      <c r="A88">
        <v>87</v>
      </c>
      <c r="B88" t="s">
        <v>282</v>
      </c>
      <c r="C88" t="s">
        <v>283</v>
      </c>
      <c r="D88" t="s">
        <v>284</v>
      </c>
      <c r="E88" t="s">
        <v>44</v>
      </c>
      <c r="F88" t="s">
        <v>26</v>
      </c>
      <c r="G88">
        <v>1</v>
      </c>
      <c r="H88">
        <v>1765</v>
      </c>
      <c r="I88">
        <v>1765</v>
      </c>
      <c r="J88" t="s">
        <v>39</v>
      </c>
      <c r="K88" t="s">
        <v>40</v>
      </c>
    </row>
    <row r="89" spans="1:11" x14ac:dyDescent="0.3">
      <c r="A89">
        <v>88</v>
      </c>
      <c r="B89" t="s">
        <v>285</v>
      </c>
      <c r="C89" t="s">
        <v>286</v>
      </c>
      <c r="D89" t="s">
        <v>287</v>
      </c>
      <c r="E89" t="s">
        <v>44</v>
      </c>
      <c r="F89" t="s">
        <v>45</v>
      </c>
      <c r="G89">
        <v>6</v>
      </c>
      <c r="H89">
        <v>1964</v>
      </c>
      <c r="I89">
        <v>11784</v>
      </c>
      <c r="J89" t="s">
        <v>67</v>
      </c>
      <c r="K89" t="s">
        <v>27</v>
      </c>
    </row>
    <row r="90" spans="1:11" x14ac:dyDescent="0.3">
      <c r="A90">
        <v>89</v>
      </c>
      <c r="B90" t="s">
        <v>288</v>
      </c>
      <c r="C90" t="s">
        <v>289</v>
      </c>
      <c r="D90" t="s">
        <v>290</v>
      </c>
      <c r="E90" t="s">
        <v>49</v>
      </c>
      <c r="F90" t="s">
        <v>86</v>
      </c>
      <c r="G90">
        <v>4</v>
      </c>
      <c r="H90">
        <v>1628</v>
      </c>
      <c r="I90">
        <v>6512</v>
      </c>
      <c r="J90" t="s">
        <v>35</v>
      </c>
      <c r="K90" t="s">
        <v>22</v>
      </c>
    </row>
    <row r="91" spans="1:11" x14ac:dyDescent="0.3">
      <c r="A91">
        <v>90</v>
      </c>
      <c r="B91" t="s">
        <v>291</v>
      </c>
      <c r="C91" t="s">
        <v>33</v>
      </c>
      <c r="D91" t="s">
        <v>292</v>
      </c>
      <c r="E91" t="s">
        <v>49</v>
      </c>
      <c r="F91" t="s">
        <v>14</v>
      </c>
      <c r="G91">
        <v>5</v>
      </c>
      <c r="H91">
        <v>1526</v>
      </c>
      <c r="I91">
        <v>7630</v>
      </c>
      <c r="J91" t="s">
        <v>67</v>
      </c>
      <c r="K91" t="s">
        <v>16</v>
      </c>
    </row>
    <row r="92" spans="1:11" x14ac:dyDescent="0.3">
      <c r="A92">
        <v>91</v>
      </c>
      <c r="B92" t="s">
        <v>293</v>
      </c>
      <c r="C92" t="s">
        <v>294</v>
      </c>
      <c r="D92" t="s">
        <v>295</v>
      </c>
      <c r="E92" t="s">
        <v>20</v>
      </c>
      <c r="F92" t="s">
        <v>60</v>
      </c>
      <c r="G92">
        <v>4</v>
      </c>
      <c r="H92">
        <v>1236</v>
      </c>
      <c r="I92">
        <v>4944</v>
      </c>
      <c r="J92" t="s">
        <v>21</v>
      </c>
      <c r="K92" t="s">
        <v>16</v>
      </c>
    </row>
    <row r="93" spans="1:11" x14ac:dyDescent="0.3">
      <c r="A93">
        <v>92</v>
      </c>
      <c r="B93" t="s">
        <v>296</v>
      </c>
      <c r="C93" t="s">
        <v>297</v>
      </c>
      <c r="D93" t="s">
        <v>298</v>
      </c>
      <c r="E93" t="s">
        <v>49</v>
      </c>
      <c r="F93" t="s">
        <v>14</v>
      </c>
      <c r="G93">
        <v>7</v>
      </c>
      <c r="H93">
        <v>847</v>
      </c>
      <c r="I93">
        <v>5929</v>
      </c>
      <c r="J93" t="s">
        <v>53</v>
      </c>
      <c r="K93" t="s">
        <v>16</v>
      </c>
    </row>
    <row r="94" spans="1:11" x14ac:dyDescent="0.3">
      <c r="A94">
        <v>93</v>
      </c>
      <c r="B94" t="s">
        <v>299</v>
      </c>
      <c r="C94" t="s">
        <v>277</v>
      </c>
      <c r="D94" t="s">
        <v>300</v>
      </c>
      <c r="E94" t="s">
        <v>44</v>
      </c>
      <c r="F94" t="s">
        <v>60</v>
      </c>
      <c r="G94">
        <v>1</v>
      </c>
      <c r="H94">
        <v>273</v>
      </c>
      <c r="I94">
        <v>273</v>
      </c>
      <c r="J94" t="s">
        <v>35</v>
      </c>
      <c r="K94" t="s">
        <v>16</v>
      </c>
    </row>
    <row r="95" spans="1:11" x14ac:dyDescent="0.3">
      <c r="A95">
        <v>94</v>
      </c>
      <c r="B95" t="s">
        <v>301</v>
      </c>
      <c r="C95" t="s">
        <v>302</v>
      </c>
      <c r="D95" t="s">
        <v>303</v>
      </c>
      <c r="E95" t="s">
        <v>20</v>
      </c>
      <c r="F95" t="s">
        <v>26</v>
      </c>
      <c r="G95">
        <v>3</v>
      </c>
      <c r="H95">
        <v>1037</v>
      </c>
      <c r="I95">
        <v>3111</v>
      </c>
      <c r="J95" t="s">
        <v>21</v>
      </c>
      <c r="K95" t="s">
        <v>22</v>
      </c>
    </row>
    <row r="96" spans="1:11" x14ac:dyDescent="0.3">
      <c r="A96">
        <v>95</v>
      </c>
      <c r="B96" t="s">
        <v>304</v>
      </c>
      <c r="C96" t="s">
        <v>305</v>
      </c>
      <c r="D96" t="s">
        <v>306</v>
      </c>
      <c r="E96" t="s">
        <v>20</v>
      </c>
      <c r="F96" t="s">
        <v>31</v>
      </c>
      <c r="G96">
        <v>8</v>
      </c>
      <c r="H96">
        <v>1202</v>
      </c>
      <c r="I96">
        <v>9616</v>
      </c>
      <c r="J96" t="s">
        <v>67</v>
      </c>
      <c r="K96" t="s">
        <v>16</v>
      </c>
    </row>
    <row r="97" spans="1:11" x14ac:dyDescent="0.3">
      <c r="A97">
        <v>96</v>
      </c>
      <c r="B97" t="s">
        <v>307</v>
      </c>
      <c r="C97" t="s">
        <v>308</v>
      </c>
      <c r="D97" t="s">
        <v>309</v>
      </c>
      <c r="E97" t="s">
        <v>44</v>
      </c>
      <c r="F97" t="s">
        <v>60</v>
      </c>
      <c r="G97">
        <v>8</v>
      </c>
      <c r="H97">
        <v>1361</v>
      </c>
      <c r="I97">
        <v>10888</v>
      </c>
      <c r="J97" t="s">
        <v>53</v>
      </c>
      <c r="K97" t="s">
        <v>16</v>
      </c>
    </row>
    <row r="98" spans="1:11" x14ac:dyDescent="0.3">
      <c r="A98">
        <v>97</v>
      </c>
      <c r="B98" t="s">
        <v>310</v>
      </c>
      <c r="C98" t="s">
        <v>311</v>
      </c>
      <c r="D98" t="s">
        <v>312</v>
      </c>
      <c r="E98" t="s">
        <v>44</v>
      </c>
      <c r="F98" t="s">
        <v>26</v>
      </c>
      <c r="G98">
        <v>7</v>
      </c>
      <c r="H98">
        <v>251</v>
      </c>
      <c r="I98">
        <v>1757</v>
      </c>
      <c r="J98" t="s">
        <v>15</v>
      </c>
      <c r="K98" t="s">
        <v>40</v>
      </c>
    </row>
    <row r="99" spans="1:11" x14ac:dyDescent="0.3">
      <c r="A99">
        <v>98</v>
      </c>
      <c r="B99" t="s">
        <v>313</v>
      </c>
      <c r="C99" t="s">
        <v>314</v>
      </c>
      <c r="D99" t="s">
        <v>315</v>
      </c>
      <c r="E99" t="s">
        <v>49</v>
      </c>
      <c r="F99" t="s">
        <v>86</v>
      </c>
      <c r="G99">
        <v>1</v>
      </c>
      <c r="H99">
        <v>1131</v>
      </c>
      <c r="I99">
        <v>1131</v>
      </c>
      <c r="J99" t="s">
        <v>15</v>
      </c>
      <c r="K99" t="s">
        <v>40</v>
      </c>
    </row>
    <row r="100" spans="1:11" x14ac:dyDescent="0.3">
      <c r="A100">
        <v>99</v>
      </c>
      <c r="B100" t="s">
        <v>316</v>
      </c>
      <c r="C100" t="s">
        <v>317</v>
      </c>
      <c r="D100" t="s">
        <v>318</v>
      </c>
      <c r="E100" t="s">
        <v>49</v>
      </c>
      <c r="F100" t="s">
        <v>14</v>
      </c>
      <c r="G100">
        <v>6</v>
      </c>
      <c r="H100">
        <v>776</v>
      </c>
      <c r="I100">
        <v>4656</v>
      </c>
      <c r="J100" t="s">
        <v>53</v>
      </c>
      <c r="K100" t="s">
        <v>16</v>
      </c>
    </row>
    <row r="101" spans="1:11" x14ac:dyDescent="0.3">
      <c r="A101">
        <v>100</v>
      </c>
      <c r="B101" t="s">
        <v>319</v>
      </c>
      <c r="C101" t="s">
        <v>320</v>
      </c>
      <c r="D101" t="s">
        <v>321</v>
      </c>
      <c r="E101" t="s">
        <v>13</v>
      </c>
      <c r="F101" t="s">
        <v>14</v>
      </c>
      <c r="G101">
        <v>2</v>
      </c>
      <c r="H101">
        <v>681</v>
      </c>
      <c r="I101">
        <v>1362</v>
      </c>
      <c r="J101" t="s">
        <v>67</v>
      </c>
      <c r="K101" t="s">
        <v>16</v>
      </c>
    </row>
    <row r="105" spans="1:11" x14ac:dyDescent="0.3">
      <c r="G105" t="s">
        <v>322</v>
      </c>
      <c r="H105">
        <f>SUM(Table13[Revenue])</f>
        <v>545987</v>
      </c>
    </row>
    <row r="106" spans="1:11" x14ac:dyDescent="0.3">
      <c r="G106" t="s">
        <v>323</v>
      </c>
      <c r="H106">
        <f>COUNT(Table13[S.No])</f>
        <v>100</v>
      </c>
    </row>
    <row r="107" spans="1:11" x14ac:dyDescent="0.3">
      <c r="G107" t="s">
        <v>325</v>
      </c>
      <c r="H107">
        <f>MAX(Table13[Revenue])</f>
        <v>19600</v>
      </c>
    </row>
    <row r="108" spans="1:11" x14ac:dyDescent="0.3">
      <c r="G108" t="s">
        <v>326</v>
      </c>
      <c r="H108">
        <f>MIN(Table13[Revenue])</f>
        <v>184</v>
      </c>
    </row>
  </sheetData>
  <pageMargins left="0.7" right="0.7" top="0.75" bottom="0.75" header="0.3" footer="0.3"/>
  <drawing r:id="rId1"/>
  <tableParts count="2">
    <tablePart r:id="rId2"/>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61BEF-CBCB-45A3-97D3-5FB93FAF70E0}">
  <dimension ref="A1:Y101"/>
  <sheetViews>
    <sheetView topLeftCell="Q1" workbookViewId="0">
      <selection activeCell="W1" sqref="W1"/>
    </sheetView>
  </sheetViews>
  <sheetFormatPr defaultRowHeight="14.4" x14ac:dyDescent="0.3"/>
  <cols>
    <col min="1" max="1" width="13" bestFit="1" customWidth="1"/>
    <col min="2" max="2" width="15.109375" bestFit="1" customWidth="1"/>
    <col min="3" max="3" width="20.5546875" bestFit="1" customWidth="1"/>
    <col min="4" max="4" width="11.21875" bestFit="1" customWidth="1"/>
    <col min="5" max="5" width="12.109375" bestFit="1" customWidth="1"/>
    <col min="6" max="6" width="12.77734375" bestFit="1" customWidth="1"/>
    <col min="7" max="7" width="14.109375" bestFit="1" customWidth="1"/>
    <col min="8" max="8" width="12.77734375" bestFit="1" customWidth="1"/>
    <col min="9" max="9" width="15.44140625" bestFit="1" customWidth="1"/>
    <col min="10" max="10" width="20.88671875" bestFit="1" customWidth="1"/>
    <col min="24" max="24" width="22.44140625" bestFit="1" customWidth="1"/>
    <col min="25" max="25" width="25.88671875" bestFit="1" customWidth="1"/>
  </cols>
  <sheetData>
    <row r="1" spans="1:25" x14ac:dyDescent="0.3">
      <c r="A1" s="1" t="s">
        <v>0</v>
      </c>
      <c r="B1" s="1" t="s">
        <v>1</v>
      </c>
      <c r="C1" s="1" t="s">
        <v>2</v>
      </c>
      <c r="D1" s="1" t="s">
        <v>3</v>
      </c>
      <c r="E1" s="1" t="s">
        <v>4</v>
      </c>
      <c r="F1" s="1" t="s">
        <v>5</v>
      </c>
      <c r="G1" s="1" t="s">
        <v>6</v>
      </c>
      <c r="H1" s="1" t="s">
        <v>7</v>
      </c>
      <c r="I1" s="1" t="s">
        <v>8</v>
      </c>
      <c r="J1" s="1" t="s">
        <v>9</v>
      </c>
      <c r="K1" t="s">
        <v>330</v>
      </c>
      <c r="L1" t="s">
        <v>332</v>
      </c>
      <c r="M1" t="s">
        <v>334</v>
      </c>
      <c r="N1" t="s">
        <v>335</v>
      </c>
      <c r="O1" t="s">
        <v>337</v>
      </c>
      <c r="P1" t="s">
        <v>339</v>
      </c>
      <c r="Q1" t="s">
        <v>341</v>
      </c>
      <c r="R1" t="s">
        <v>343</v>
      </c>
      <c r="S1" t="s">
        <v>347</v>
      </c>
      <c r="T1" t="s">
        <v>349</v>
      </c>
      <c r="U1" t="s">
        <v>351</v>
      </c>
      <c r="V1" t="s">
        <v>353</v>
      </c>
      <c r="X1" t="s">
        <v>330</v>
      </c>
      <c r="Y1" t="s">
        <v>331</v>
      </c>
    </row>
    <row r="2" spans="1:25" x14ac:dyDescent="0.3">
      <c r="A2" t="s">
        <v>10</v>
      </c>
      <c r="B2" t="s">
        <v>11</v>
      </c>
      <c r="C2" t="s">
        <v>12</v>
      </c>
      <c r="D2" t="s">
        <v>13</v>
      </c>
      <c r="E2" t="s">
        <v>14</v>
      </c>
      <c r="F2">
        <v>8</v>
      </c>
      <c r="G2">
        <v>960</v>
      </c>
      <c r="H2">
        <v>7680</v>
      </c>
      <c r="I2" t="s">
        <v>15</v>
      </c>
      <c r="J2" t="s">
        <v>16</v>
      </c>
      <c r="K2" t="str">
        <f>LEFT(Table15[[#This Row],[Customer_Name]],3)</f>
        <v>Edw</v>
      </c>
      <c r="L2" t="str">
        <f>RIGHT(Table15[[#This Row],[Customer_Name]],3)</f>
        <v>ker</v>
      </c>
      <c r="M2" t="str">
        <f>MID(Table15[[#This Row],[Customer_Name]],4,3)</f>
        <v>ard</v>
      </c>
      <c r="N2">
        <f>LEN(Table15[[#This Row],[Customer_Name]])</f>
        <v>13</v>
      </c>
      <c r="O2" t="str">
        <f>_xlfn.CONCAT(K2,M2,L2)</f>
        <v>Edwardker</v>
      </c>
      <c r="P2" t="e" cm="1">
        <f t="array" ref="P2">TEX</f>
        <v>#NAME?</v>
      </c>
      <c r="Q2" t="str">
        <f>UPPER(Table15[[#This Row],[Customer_Name]])</f>
        <v>EDWARD TUCKER</v>
      </c>
      <c r="R2" t="str">
        <f>LOWER(Table15[[#This Row],[Customer_Name]])</f>
        <v>edward tucker</v>
      </c>
      <c r="S2" t="str">
        <f>TRIM(Table15[[#This Row],[Payment_Method]])</f>
        <v>Card</v>
      </c>
      <c r="T2" t="str">
        <f>SUBSTITUTE(Table15[[#This Row],[Payment_Method]],"C","A")</f>
        <v>Aard</v>
      </c>
      <c r="U2" t="str">
        <f>REPLACE(Table15[[#This Row],[Order_ID]],2,3,"A")</f>
        <v>OA001</v>
      </c>
      <c r="V2">
        <f>FIND("a",Table15[[#This Row],[Product]])</f>
        <v>2</v>
      </c>
      <c r="X2" t="s">
        <v>332</v>
      </c>
      <c r="Y2" t="s">
        <v>333</v>
      </c>
    </row>
    <row r="3" spans="1:25" x14ac:dyDescent="0.3">
      <c r="A3" t="s">
        <v>17</v>
      </c>
      <c r="B3" t="s">
        <v>18</v>
      </c>
      <c r="C3" t="s">
        <v>19</v>
      </c>
      <c r="D3" t="s">
        <v>20</v>
      </c>
      <c r="E3" t="s">
        <v>14</v>
      </c>
      <c r="F3">
        <v>8</v>
      </c>
      <c r="G3">
        <v>897</v>
      </c>
      <c r="H3">
        <v>7176</v>
      </c>
      <c r="I3" t="s">
        <v>21</v>
      </c>
      <c r="J3" t="s">
        <v>22</v>
      </c>
      <c r="K3" t="str">
        <f>LEFT(Table15[[#This Row],[Customer_Name]],3)</f>
        <v>Dr.</v>
      </c>
      <c r="L3" t="str">
        <f>RIGHT(Table15[[#This Row],[Customer_Name]],3)</f>
        <v>ith</v>
      </c>
      <c r="M3" t="str">
        <f>MID(Table15[[#This Row],[Customer_Name]],4,3)</f>
        <v xml:space="preserve"> Mi</v>
      </c>
      <c r="N3">
        <f>LEN(Table15[[#This Row],[Customer_Name]])</f>
        <v>17</v>
      </c>
      <c r="O3" t="str">
        <f t="shared" ref="O3:O66" si="0">_xlfn.CONCAT(K3,M3,L3)</f>
        <v>Dr. Miith</v>
      </c>
      <c r="Q3" t="str">
        <f>UPPER(Table15[[#This Row],[Customer_Name]])</f>
        <v>DR. MICHAEL SMITH</v>
      </c>
      <c r="R3" t="str">
        <f>LOWER(Table15[[#This Row],[Customer_Name]])</f>
        <v>dr. michael smith</v>
      </c>
      <c r="S3" t="str">
        <f>TRIM(Table15[[#This Row],[Payment_Method]])</f>
        <v>UPI</v>
      </c>
      <c r="T3" t="str">
        <f>SUBSTITUTE(Table15[[#This Row],[Payment_Method]],"C","A")</f>
        <v>UPI</v>
      </c>
      <c r="U3" t="str">
        <f>REPLACE(Table15[[#This Row],[Order_ID]],2,3,"A")</f>
        <v>OA002</v>
      </c>
      <c r="V3">
        <f>FIND("a",Table15[[#This Row],[Product]])</f>
        <v>2</v>
      </c>
      <c r="X3" t="s">
        <v>334</v>
      </c>
      <c r="Y3">
        <v>0</v>
      </c>
    </row>
    <row r="4" spans="1:25" x14ac:dyDescent="0.3">
      <c r="A4" t="s">
        <v>23</v>
      </c>
      <c r="B4" t="s">
        <v>24</v>
      </c>
      <c r="C4" t="s">
        <v>25</v>
      </c>
      <c r="D4" t="s">
        <v>13</v>
      </c>
      <c r="E4" t="s">
        <v>26</v>
      </c>
      <c r="F4">
        <v>6</v>
      </c>
      <c r="G4">
        <v>959</v>
      </c>
      <c r="H4">
        <v>5754</v>
      </c>
      <c r="I4" t="s">
        <v>21</v>
      </c>
      <c r="J4" t="s">
        <v>27</v>
      </c>
      <c r="K4" t="str">
        <f>LEFT(Table15[[#This Row],[Customer_Name]],3)</f>
        <v>Don</v>
      </c>
      <c r="L4" t="str">
        <f>RIGHT(Table15[[#This Row],[Customer_Name]],3)</f>
        <v>ost</v>
      </c>
      <c r="M4" t="str">
        <f>MID(Table15[[#This Row],[Customer_Name]],4,3)</f>
        <v xml:space="preserve">na </v>
      </c>
      <c r="N4">
        <f>LEN(Table15[[#This Row],[Customer_Name]])</f>
        <v>11</v>
      </c>
      <c r="O4" t="str">
        <f t="shared" si="0"/>
        <v>Donna ost</v>
      </c>
      <c r="Q4" t="str">
        <f>UPPER(Table15[[#This Row],[Customer_Name]])</f>
        <v>DONNA FROST</v>
      </c>
      <c r="R4" t="str">
        <f>LOWER(Table15[[#This Row],[Customer_Name]])</f>
        <v>donna frost</v>
      </c>
      <c r="S4" t="str">
        <f>TRIM(Table15[[#This Row],[Payment_Method]])</f>
        <v>Cash</v>
      </c>
      <c r="T4" t="str">
        <f>SUBSTITUTE(Table15[[#This Row],[Payment_Method]],"C","A")</f>
        <v>Aash</v>
      </c>
      <c r="U4" t="str">
        <f>REPLACE(Table15[[#This Row],[Order_ID]],2,3,"A")</f>
        <v>OA003</v>
      </c>
      <c r="V4">
        <f>FIND("a",Table15[[#This Row],[Product]])</f>
        <v>3</v>
      </c>
      <c r="X4" t="s">
        <v>335</v>
      </c>
      <c r="Y4" t="s">
        <v>336</v>
      </c>
    </row>
    <row r="5" spans="1:25" x14ac:dyDescent="0.3">
      <c r="A5" t="s">
        <v>28</v>
      </c>
      <c r="B5" t="s">
        <v>29</v>
      </c>
      <c r="C5" t="s">
        <v>30</v>
      </c>
      <c r="D5" t="s">
        <v>13</v>
      </c>
      <c r="E5" t="s">
        <v>31</v>
      </c>
      <c r="F5">
        <v>10</v>
      </c>
      <c r="G5">
        <v>1065</v>
      </c>
      <c r="H5">
        <v>10650</v>
      </c>
      <c r="I5" t="s">
        <v>21</v>
      </c>
      <c r="J5" t="s">
        <v>27</v>
      </c>
      <c r="K5" t="str">
        <f>LEFT(Table15[[#This Row],[Customer_Name]],3)</f>
        <v>Nic</v>
      </c>
      <c r="L5" t="str">
        <f>RIGHT(Table15[[#This Row],[Customer_Name]],3)</f>
        <v>dez</v>
      </c>
      <c r="M5" t="str">
        <f>MID(Table15[[#This Row],[Customer_Name]],4,3)</f>
        <v>ole</v>
      </c>
      <c r="N5">
        <f>LEN(Table15[[#This Row],[Customer_Name]])</f>
        <v>16</v>
      </c>
      <c r="O5" t="str">
        <f t="shared" si="0"/>
        <v>Nicoledez</v>
      </c>
      <c r="Q5" t="str">
        <f>UPPER(Table15[[#This Row],[Customer_Name]])</f>
        <v>NICOLE HERNANDEZ</v>
      </c>
      <c r="R5" t="str">
        <f>LOWER(Table15[[#This Row],[Customer_Name]])</f>
        <v>nicole hernandez</v>
      </c>
      <c r="S5" t="str">
        <f>TRIM(Table15[[#This Row],[Payment_Method]])</f>
        <v>Cash</v>
      </c>
      <c r="T5" t="str">
        <f>SUBSTITUTE(Table15[[#This Row],[Payment_Method]],"C","A")</f>
        <v>Aash</v>
      </c>
      <c r="U5" t="str">
        <f>REPLACE(Table15[[#This Row],[Order_ID]],2,3,"A")</f>
        <v>OA004</v>
      </c>
      <c r="V5">
        <f>FIND("a",Table15[[#This Row],[Product]])</f>
        <v>6</v>
      </c>
      <c r="X5" t="s">
        <v>337</v>
      </c>
      <c r="Y5" t="s">
        <v>338</v>
      </c>
    </row>
    <row r="6" spans="1:25" x14ac:dyDescent="0.3">
      <c r="A6" t="s">
        <v>32</v>
      </c>
      <c r="B6" t="s">
        <v>33</v>
      </c>
      <c r="C6" t="s">
        <v>34</v>
      </c>
      <c r="D6" t="s">
        <v>20</v>
      </c>
      <c r="E6" t="s">
        <v>31</v>
      </c>
      <c r="F6">
        <v>4</v>
      </c>
      <c r="G6">
        <v>978</v>
      </c>
      <c r="H6">
        <v>3912</v>
      </c>
      <c r="I6" t="s">
        <v>35</v>
      </c>
      <c r="J6" t="s">
        <v>16</v>
      </c>
      <c r="K6" t="str">
        <f>LEFT(Table15[[#This Row],[Customer_Name]],3)</f>
        <v>Kei</v>
      </c>
      <c r="L6" t="str">
        <f>RIGHT(Table15[[#This Row],[Customer_Name]],3)</f>
        <v>nna</v>
      </c>
      <c r="M6" t="str">
        <f>MID(Table15[[#This Row],[Customer_Name]],4,3)</f>
        <v xml:space="preserve">th </v>
      </c>
      <c r="N6">
        <f>LEN(Table15[[#This Row],[Customer_Name]])</f>
        <v>11</v>
      </c>
      <c r="O6" t="str">
        <f t="shared" si="0"/>
        <v>Keith nna</v>
      </c>
      <c r="Q6" t="str">
        <f>UPPER(Table15[[#This Row],[Customer_Name]])</f>
        <v>KEITH HANNA</v>
      </c>
      <c r="R6" t="str">
        <f>LOWER(Table15[[#This Row],[Customer_Name]])</f>
        <v>keith hanna</v>
      </c>
      <c r="S6" t="str">
        <f>TRIM(Table15[[#This Row],[Payment_Method]])</f>
        <v>Card</v>
      </c>
      <c r="T6" t="str">
        <f>SUBSTITUTE(Table15[[#This Row],[Payment_Method]],"C","A")</f>
        <v>Aard</v>
      </c>
      <c r="U6" t="str">
        <f>REPLACE(Table15[[#This Row],[Order_ID]],2,3,"A")</f>
        <v>OA005</v>
      </c>
      <c r="V6">
        <f>FIND("a",Table15[[#This Row],[Product]])</f>
        <v>6</v>
      </c>
      <c r="X6" t="s">
        <v>339</v>
      </c>
      <c r="Y6" t="s">
        <v>340</v>
      </c>
    </row>
    <row r="7" spans="1:25" x14ac:dyDescent="0.3">
      <c r="A7" t="s">
        <v>36</v>
      </c>
      <c r="B7" t="s">
        <v>37</v>
      </c>
      <c r="C7" t="s">
        <v>38</v>
      </c>
      <c r="D7" t="s">
        <v>20</v>
      </c>
      <c r="E7" t="s">
        <v>14</v>
      </c>
      <c r="F7">
        <v>7</v>
      </c>
      <c r="G7">
        <v>785</v>
      </c>
      <c r="H7">
        <v>5495</v>
      </c>
      <c r="I7" t="s">
        <v>39</v>
      </c>
      <c r="J7" t="s">
        <v>40</v>
      </c>
      <c r="K7" t="str">
        <f>LEFT(Table15[[#This Row],[Customer_Name]],3)</f>
        <v>Ric</v>
      </c>
      <c r="L7" t="str">
        <f>RIGHT(Table15[[#This Row],[Customer_Name]],3)</f>
        <v>ore</v>
      </c>
      <c r="M7" t="str">
        <f>MID(Table15[[#This Row],[Customer_Name]],4,3)</f>
        <v xml:space="preserve">ky </v>
      </c>
      <c r="N7">
        <f>LEN(Table15[[#This Row],[Customer_Name]])</f>
        <v>11</v>
      </c>
      <c r="O7" t="str">
        <f t="shared" si="0"/>
        <v>Ricky ore</v>
      </c>
      <c r="Q7" t="str">
        <f>UPPER(Table15[[#This Row],[Customer_Name]])</f>
        <v>RICKY MOORE</v>
      </c>
      <c r="R7" t="str">
        <f>LOWER(Table15[[#This Row],[Customer_Name]])</f>
        <v>ricky moore</v>
      </c>
      <c r="S7" t="str">
        <f>TRIM(Table15[[#This Row],[Payment_Method]])</f>
        <v>Net Banking</v>
      </c>
      <c r="T7" t="str">
        <f>SUBSTITUTE(Table15[[#This Row],[Payment_Method]],"C","A")</f>
        <v>Net Banking</v>
      </c>
      <c r="U7" t="str">
        <f>REPLACE(Table15[[#This Row],[Order_ID]],2,3,"A")</f>
        <v>OA006</v>
      </c>
      <c r="V7">
        <f>FIND("a",Table15[[#This Row],[Product]])</f>
        <v>2</v>
      </c>
      <c r="X7" t="s">
        <v>341</v>
      </c>
      <c r="Y7" t="s">
        <v>342</v>
      </c>
    </row>
    <row r="8" spans="1:25" x14ac:dyDescent="0.3">
      <c r="A8" t="s">
        <v>41</v>
      </c>
      <c r="B8" t="s">
        <v>42</v>
      </c>
      <c r="C8" t="s">
        <v>43</v>
      </c>
      <c r="D8" t="s">
        <v>44</v>
      </c>
      <c r="E8" t="s">
        <v>45</v>
      </c>
      <c r="F8">
        <v>4</v>
      </c>
      <c r="G8">
        <v>474</v>
      </c>
      <c r="H8">
        <v>1896</v>
      </c>
      <c r="I8" t="s">
        <v>15</v>
      </c>
      <c r="J8" t="s">
        <v>16</v>
      </c>
      <c r="K8" t="str">
        <f>LEFT(Table15[[#This Row],[Customer_Name]],3)</f>
        <v>Tam</v>
      </c>
      <c r="L8" t="str">
        <f>RIGHT(Table15[[#This Row],[Customer_Name]],3)</f>
        <v>ghn</v>
      </c>
      <c r="M8" t="str">
        <f>MID(Table15[[#This Row],[Customer_Name]],4,3)</f>
        <v xml:space="preserve">my </v>
      </c>
      <c r="N8">
        <f>LEN(Table15[[#This Row],[Customer_Name]])</f>
        <v>12</v>
      </c>
      <c r="O8" t="str">
        <f t="shared" si="0"/>
        <v>Tammy ghn</v>
      </c>
      <c r="Q8" t="str">
        <f>UPPER(Table15[[#This Row],[Customer_Name]])</f>
        <v>TAMMY VAUGHN</v>
      </c>
      <c r="R8" t="str">
        <f>LOWER(Table15[[#This Row],[Customer_Name]])</f>
        <v>tammy vaughn</v>
      </c>
      <c r="S8" t="str">
        <f>TRIM(Table15[[#This Row],[Payment_Method]])</f>
        <v>Card</v>
      </c>
      <c r="T8" t="str">
        <f>SUBSTITUTE(Table15[[#This Row],[Payment_Method]],"C","A")</f>
        <v>Aard</v>
      </c>
      <c r="U8" t="str">
        <f>REPLACE(Table15[[#This Row],[Order_ID]],2,3,"A")</f>
        <v>OA007</v>
      </c>
      <c r="V8" t="e">
        <f>FIND("a",Table15[[#This Row],[Product]])</f>
        <v>#VALUE!</v>
      </c>
      <c r="X8" t="s">
        <v>343</v>
      </c>
      <c r="Y8" t="s">
        <v>344</v>
      </c>
    </row>
    <row r="9" spans="1:25" x14ac:dyDescent="0.3">
      <c r="A9" t="s">
        <v>46</v>
      </c>
      <c r="B9" t="s">
        <v>47</v>
      </c>
      <c r="C9" t="s">
        <v>48</v>
      </c>
      <c r="D9" t="s">
        <v>49</v>
      </c>
      <c r="E9" t="s">
        <v>14</v>
      </c>
      <c r="F9">
        <v>4</v>
      </c>
      <c r="G9">
        <v>1934</v>
      </c>
      <c r="H9">
        <v>7736</v>
      </c>
      <c r="I9" t="s">
        <v>15</v>
      </c>
      <c r="J9" t="s">
        <v>40</v>
      </c>
      <c r="K9" t="str">
        <f>LEFT(Table15[[#This Row],[Customer_Name]],3)</f>
        <v>Mic</v>
      </c>
      <c r="L9" t="str">
        <f>RIGHT(Table15[[#This Row],[Customer_Name]],3)</f>
        <v>ner</v>
      </c>
      <c r="M9" t="str">
        <f>MID(Table15[[#This Row],[Customer_Name]],4,3)</f>
        <v>hae</v>
      </c>
      <c r="N9">
        <f>LEN(Table15[[#This Row],[Customer_Name]])</f>
        <v>14</v>
      </c>
      <c r="O9" t="str">
        <f t="shared" si="0"/>
        <v>Michaener</v>
      </c>
      <c r="Q9" t="str">
        <f>UPPER(Table15[[#This Row],[Customer_Name]])</f>
        <v>MICHAEL WARNER</v>
      </c>
      <c r="R9" t="str">
        <f>LOWER(Table15[[#This Row],[Customer_Name]])</f>
        <v>michael warner</v>
      </c>
      <c r="S9" t="str">
        <f>TRIM(Table15[[#This Row],[Payment_Method]])</f>
        <v>Net Banking</v>
      </c>
      <c r="T9" t="str">
        <f>SUBSTITUTE(Table15[[#This Row],[Payment_Method]],"C","A")</f>
        <v>Net Banking</v>
      </c>
      <c r="U9" t="str">
        <f>REPLACE(Table15[[#This Row],[Order_ID]],2,3,"A")</f>
        <v>OA008</v>
      </c>
      <c r="V9">
        <f>FIND("a",Table15[[#This Row],[Product]])</f>
        <v>2</v>
      </c>
      <c r="X9" t="s">
        <v>345</v>
      </c>
      <c r="Y9" t="s">
        <v>346</v>
      </c>
    </row>
    <row r="10" spans="1:25" x14ac:dyDescent="0.3">
      <c r="A10" t="s">
        <v>50</v>
      </c>
      <c r="B10" t="s">
        <v>51</v>
      </c>
      <c r="C10" t="s">
        <v>52</v>
      </c>
      <c r="D10" t="s">
        <v>49</v>
      </c>
      <c r="E10" t="s">
        <v>31</v>
      </c>
      <c r="F10">
        <v>2</v>
      </c>
      <c r="G10">
        <v>599</v>
      </c>
      <c r="H10">
        <v>1198</v>
      </c>
      <c r="I10" t="s">
        <v>53</v>
      </c>
      <c r="J10" t="s">
        <v>27</v>
      </c>
      <c r="K10" t="str">
        <f>LEFT(Table15[[#This Row],[Customer_Name]],3)</f>
        <v>Jul</v>
      </c>
      <c r="L10" t="str">
        <f>RIGHT(Table15[[#This Row],[Customer_Name]],3)</f>
        <v>son</v>
      </c>
      <c r="M10" t="str">
        <f>MID(Table15[[#This Row],[Customer_Name]],4,3)</f>
        <v xml:space="preserve">ie </v>
      </c>
      <c r="N10">
        <f>LEN(Table15[[#This Row],[Customer_Name]])</f>
        <v>14</v>
      </c>
      <c r="O10" t="str">
        <f t="shared" si="0"/>
        <v>Julie son</v>
      </c>
      <c r="Q10" t="str">
        <f>UPPER(Table15[[#This Row],[Customer_Name]])</f>
        <v>JULIE ANDERSON</v>
      </c>
      <c r="R10" t="str">
        <f>LOWER(Table15[[#This Row],[Customer_Name]])</f>
        <v>julie anderson</v>
      </c>
      <c r="S10" t="str">
        <f>TRIM(Table15[[#This Row],[Payment_Method]])</f>
        <v>Cash</v>
      </c>
      <c r="T10" t="str">
        <f>SUBSTITUTE(Table15[[#This Row],[Payment_Method]],"C","A")</f>
        <v>Aash</v>
      </c>
      <c r="U10" t="str">
        <f>REPLACE(Table15[[#This Row],[Order_ID]],2,3,"A")</f>
        <v>OA009</v>
      </c>
      <c r="V10">
        <f>FIND("a",Table15[[#This Row],[Product]])</f>
        <v>6</v>
      </c>
      <c r="X10" t="s">
        <v>347</v>
      </c>
      <c r="Y10" t="s">
        <v>348</v>
      </c>
    </row>
    <row r="11" spans="1:25" x14ac:dyDescent="0.3">
      <c r="A11" t="s">
        <v>54</v>
      </c>
      <c r="B11" t="s">
        <v>55</v>
      </c>
      <c r="C11" t="s">
        <v>56</v>
      </c>
      <c r="D11" t="s">
        <v>20</v>
      </c>
      <c r="E11" t="s">
        <v>31</v>
      </c>
      <c r="F11">
        <v>6</v>
      </c>
      <c r="G11">
        <v>1476</v>
      </c>
      <c r="H11">
        <v>8856</v>
      </c>
      <c r="I11" t="s">
        <v>15</v>
      </c>
      <c r="J11" t="s">
        <v>40</v>
      </c>
      <c r="K11" t="str">
        <f>LEFT(Table15[[#This Row],[Customer_Name]],3)</f>
        <v>Car</v>
      </c>
      <c r="L11" t="str">
        <f>RIGHT(Table15[[#This Row],[Customer_Name]],3)</f>
        <v>son</v>
      </c>
      <c r="M11" t="str">
        <f>MID(Table15[[#This Row],[Customer_Name]],4,3)</f>
        <v>rie</v>
      </c>
      <c r="N11">
        <f>LEN(Table15[[#This Row],[Customer_Name]])</f>
        <v>12</v>
      </c>
      <c r="O11" t="str">
        <f t="shared" si="0"/>
        <v>Carrieson</v>
      </c>
      <c r="Q11" t="str">
        <f>UPPER(Table15[[#This Row],[Customer_Name]])</f>
        <v>CARRIE OLSON</v>
      </c>
      <c r="R11" t="str">
        <f>LOWER(Table15[[#This Row],[Customer_Name]])</f>
        <v>carrie olson</v>
      </c>
      <c r="S11" t="str">
        <f>TRIM(Table15[[#This Row],[Payment_Method]])</f>
        <v>Net Banking</v>
      </c>
      <c r="T11" t="str">
        <f>SUBSTITUTE(Table15[[#This Row],[Payment_Method]],"C","A")</f>
        <v>Net Banking</v>
      </c>
      <c r="U11" t="str">
        <f>REPLACE(Table15[[#This Row],[Order_ID]],2,3,"A")</f>
        <v>OA010</v>
      </c>
      <c r="V11">
        <f>FIND("a",Table15[[#This Row],[Product]])</f>
        <v>6</v>
      </c>
      <c r="X11" t="s">
        <v>349</v>
      </c>
      <c r="Y11" t="s">
        <v>350</v>
      </c>
    </row>
    <row r="12" spans="1:25" x14ac:dyDescent="0.3">
      <c r="A12" t="s">
        <v>57</v>
      </c>
      <c r="B12" t="s">
        <v>58</v>
      </c>
      <c r="C12" t="s">
        <v>59</v>
      </c>
      <c r="D12" t="s">
        <v>49</v>
      </c>
      <c r="E12" t="s">
        <v>60</v>
      </c>
      <c r="F12">
        <v>5</v>
      </c>
      <c r="G12">
        <v>1331</v>
      </c>
      <c r="H12">
        <v>6655</v>
      </c>
      <c r="I12" t="s">
        <v>35</v>
      </c>
      <c r="J12" t="s">
        <v>27</v>
      </c>
      <c r="K12" t="str">
        <f>LEFT(Table15[[#This Row],[Customer_Name]],3)</f>
        <v>Law</v>
      </c>
      <c r="L12" t="str">
        <f>RIGHT(Table15[[#This Row],[Customer_Name]],3)</f>
        <v>rty</v>
      </c>
      <c r="M12" t="str">
        <f>MID(Table15[[#This Row],[Customer_Name]],4,3)</f>
        <v>ren</v>
      </c>
      <c r="N12">
        <f>LEN(Table15[[#This Row],[Customer_Name]])</f>
        <v>18</v>
      </c>
      <c r="O12" t="str">
        <f t="shared" si="0"/>
        <v>Lawrenrty</v>
      </c>
      <c r="Q12" t="str">
        <f>UPPER(Table15[[#This Row],[Customer_Name]])</f>
        <v>LAWRENCE DOUGHERTY</v>
      </c>
      <c r="R12" t="str">
        <f>LOWER(Table15[[#This Row],[Customer_Name]])</f>
        <v>lawrence dougherty</v>
      </c>
      <c r="S12" t="str">
        <f>TRIM(Table15[[#This Row],[Payment_Method]])</f>
        <v>Cash</v>
      </c>
      <c r="T12" t="str">
        <f>SUBSTITUTE(Table15[[#This Row],[Payment_Method]],"C","A")</f>
        <v>Aash</v>
      </c>
      <c r="U12" t="str">
        <f>REPLACE(Table15[[#This Row],[Order_ID]],2,3,"A")</f>
        <v>OA011</v>
      </c>
      <c r="V12">
        <f>FIND("a",Table15[[#This Row],[Product]])</f>
        <v>2</v>
      </c>
      <c r="X12" t="s">
        <v>351</v>
      </c>
      <c r="Y12" t="s">
        <v>352</v>
      </c>
    </row>
    <row r="13" spans="1:25" x14ac:dyDescent="0.3">
      <c r="A13" t="s">
        <v>61</v>
      </c>
      <c r="B13" t="s">
        <v>62</v>
      </c>
      <c r="C13" t="s">
        <v>63</v>
      </c>
      <c r="D13" t="s">
        <v>13</v>
      </c>
      <c r="E13" t="s">
        <v>14</v>
      </c>
      <c r="F13">
        <v>5</v>
      </c>
      <c r="G13">
        <v>678</v>
      </c>
      <c r="H13">
        <v>3390</v>
      </c>
      <c r="I13" t="s">
        <v>35</v>
      </c>
      <c r="J13" t="s">
        <v>27</v>
      </c>
      <c r="K13" t="str">
        <f>LEFT(Table15[[#This Row],[Customer_Name]],3)</f>
        <v>Kyl</v>
      </c>
      <c r="L13" t="str">
        <f>RIGHT(Table15[[#This Row],[Customer_Name]],3)</f>
        <v>son</v>
      </c>
      <c r="M13" t="str">
        <f>MID(Table15[[#This Row],[Customer_Name]],4,3)</f>
        <v>e J</v>
      </c>
      <c r="N13">
        <f>LEN(Table15[[#This Row],[Customer_Name]])</f>
        <v>12</v>
      </c>
      <c r="O13" t="str">
        <f t="shared" si="0"/>
        <v>Kyle Json</v>
      </c>
      <c r="Q13" t="str">
        <f>UPPER(Table15[[#This Row],[Customer_Name]])</f>
        <v>KYLE JOHNSON</v>
      </c>
      <c r="R13" t="str">
        <f>LOWER(Table15[[#This Row],[Customer_Name]])</f>
        <v>kyle johnson</v>
      </c>
      <c r="S13" t="str">
        <f>TRIM(Table15[[#This Row],[Payment_Method]])</f>
        <v>Cash</v>
      </c>
      <c r="T13" t="str">
        <f>SUBSTITUTE(Table15[[#This Row],[Payment_Method]],"C","A")</f>
        <v>Aash</v>
      </c>
      <c r="U13" t="str">
        <f>REPLACE(Table15[[#This Row],[Order_ID]],2,3,"A")</f>
        <v>OA012</v>
      </c>
      <c r="V13">
        <f>FIND("a",Table15[[#This Row],[Product]])</f>
        <v>2</v>
      </c>
      <c r="X13" t="s">
        <v>353</v>
      </c>
      <c r="Y13" t="s">
        <v>354</v>
      </c>
    </row>
    <row r="14" spans="1:25" x14ac:dyDescent="0.3">
      <c r="A14" t="s">
        <v>64</v>
      </c>
      <c r="B14" t="s">
        <v>65</v>
      </c>
      <c r="C14" t="s">
        <v>66</v>
      </c>
      <c r="D14" t="s">
        <v>13</v>
      </c>
      <c r="E14" t="s">
        <v>60</v>
      </c>
      <c r="F14">
        <v>4</v>
      </c>
      <c r="G14">
        <v>1808</v>
      </c>
      <c r="H14">
        <v>7232</v>
      </c>
      <c r="I14" t="s">
        <v>67</v>
      </c>
      <c r="J14" t="s">
        <v>22</v>
      </c>
      <c r="K14" t="str">
        <f>LEFT(Table15[[#This Row],[Customer_Name]],3)</f>
        <v>Lau</v>
      </c>
      <c r="L14" t="str">
        <f>RIGHT(Table15[[#This Row],[Customer_Name]],3)</f>
        <v>ran</v>
      </c>
      <c r="M14" t="str">
        <f>MID(Table15[[#This Row],[Customer_Name]],4,3)</f>
        <v xml:space="preserve">ra </v>
      </c>
      <c r="N14">
        <f>LEN(Table15[[#This Row],[Customer_Name]])</f>
        <v>11</v>
      </c>
      <c r="O14" t="str">
        <f t="shared" si="0"/>
        <v>Laura ran</v>
      </c>
      <c r="Q14" t="str">
        <f>UPPER(Table15[[#This Row],[Customer_Name]])</f>
        <v>LAURA DURAN</v>
      </c>
      <c r="R14" t="str">
        <f>LOWER(Table15[[#This Row],[Customer_Name]])</f>
        <v>laura duran</v>
      </c>
      <c r="S14" t="str">
        <f>TRIM(Table15[[#This Row],[Payment_Method]])</f>
        <v>UPI</v>
      </c>
      <c r="T14" t="str">
        <f>SUBSTITUTE(Table15[[#This Row],[Payment_Method]],"C","A")</f>
        <v>UPI</v>
      </c>
      <c r="U14" t="str">
        <f>REPLACE(Table15[[#This Row],[Order_ID]],2,3,"A")</f>
        <v>OA013</v>
      </c>
      <c r="V14">
        <f>FIND("a",Table15[[#This Row],[Product]])</f>
        <v>2</v>
      </c>
      <c r="X14" t="s">
        <v>355</v>
      </c>
      <c r="Y14" t="s">
        <v>356</v>
      </c>
    </row>
    <row r="15" spans="1:25" x14ac:dyDescent="0.3">
      <c r="A15" t="s">
        <v>68</v>
      </c>
      <c r="B15" t="s">
        <v>69</v>
      </c>
      <c r="C15" t="s">
        <v>70</v>
      </c>
      <c r="D15" t="s">
        <v>13</v>
      </c>
      <c r="E15" t="s">
        <v>45</v>
      </c>
      <c r="F15">
        <v>1</v>
      </c>
      <c r="G15">
        <v>1141</v>
      </c>
      <c r="H15">
        <v>1141</v>
      </c>
      <c r="I15" t="s">
        <v>67</v>
      </c>
      <c r="J15" t="s">
        <v>27</v>
      </c>
      <c r="K15" t="str">
        <f>LEFT(Table15[[#This Row],[Customer_Name]],3)</f>
        <v>Hei</v>
      </c>
      <c r="L15" t="str">
        <f>RIGHT(Table15[[#This Row],[Customer_Name]],3)</f>
        <v>ill</v>
      </c>
      <c r="M15" t="str">
        <f>MID(Table15[[#This Row],[Customer_Name]],4,3)</f>
        <v xml:space="preserve">di </v>
      </c>
      <c r="N15">
        <f>LEN(Table15[[#This Row],[Customer_Name]])</f>
        <v>10</v>
      </c>
      <c r="O15" t="str">
        <f t="shared" si="0"/>
        <v>Heidi ill</v>
      </c>
      <c r="Q15" t="str">
        <f>UPPER(Table15[[#This Row],[Customer_Name]])</f>
        <v>HEIDI GILL</v>
      </c>
      <c r="R15" t="str">
        <f>LOWER(Table15[[#This Row],[Customer_Name]])</f>
        <v>heidi gill</v>
      </c>
      <c r="S15" t="str">
        <f>TRIM(Table15[[#This Row],[Payment_Method]])</f>
        <v>Cash</v>
      </c>
      <c r="T15" t="str">
        <f>SUBSTITUTE(Table15[[#This Row],[Payment_Method]],"C","A")</f>
        <v>Aash</v>
      </c>
      <c r="U15" t="str">
        <f>REPLACE(Table15[[#This Row],[Order_ID]],2,3,"A")</f>
        <v>OA014</v>
      </c>
      <c r="V15" t="e">
        <f>FIND("a",Table15[[#This Row],[Product]])</f>
        <v>#VALUE!</v>
      </c>
    </row>
    <row r="16" spans="1:25" x14ac:dyDescent="0.3">
      <c r="A16" t="s">
        <v>71</v>
      </c>
      <c r="B16" t="s">
        <v>72</v>
      </c>
      <c r="C16" t="s">
        <v>73</v>
      </c>
      <c r="D16" t="s">
        <v>20</v>
      </c>
      <c r="E16" t="s">
        <v>31</v>
      </c>
      <c r="F16">
        <v>6</v>
      </c>
      <c r="G16">
        <v>1433</v>
      </c>
      <c r="H16">
        <v>8598</v>
      </c>
      <c r="I16" t="s">
        <v>15</v>
      </c>
      <c r="J16" t="s">
        <v>27</v>
      </c>
      <c r="K16" t="str">
        <f>LEFT(Table15[[#This Row],[Customer_Name]],3)</f>
        <v>Mic</v>
      </c>
      <c r="L16" t="str">
        <f>RIGHT(Table15[[#This Row],[Customer_Name]],3)</f>
        <v>ams</v>
      </c>
      <c r="M16" t="str">
        <f>MID(Table15[[#This Row],[Customer_Name]],4,3)</f>
        <v>hae</v>
      </c>
      <c r="N16">
        <f>LEN(Table15[[#This Row],[Customer_Name]])</f>
        <v>16</v>
      </c>
      <c r="O16" t="str">
        <f t="shared" si="0"/>
        <v>Michaeams</v>
      </c>
      <c r="Q16" t="str">
        <f>UPPER(Table15[[#This Row],[Customer_Name]])</f>
        <v>MICHAEL WILLIAMS</v>
      </c>
      <c r="R16" t="str">
        <f>LOWER(Table15[[#This Row],[Customer_Name]])</f>
        <v>michael williams</v>
      </c>
      <c r="S16" t="str">
        <f>TRIM(Table15[[#This Row],[Payment_Method]])</f>
        <v>Cash</v>
      </c>
      <c r="T16" t="str">
        <f>SUBSTITUTE(Table15[[#This Row],[Payment_Method]],"C","A")</f>
        <v>Aash</v>
      </c>
      <c r="U16" t="str">
        <f>REPLACE(Table15[[#This Row],[Order_ID]],2,3,"A")</f>
        <v>OA015</v>
      </c>
      <c r="V16">
        <f>FIND("a",Table15[[#This Row],[Product]])</f>
        <v>6</v>
      </c>
    </row>
    <row r="17" spans="1:22" x14ac:dyDescent="0.3">
      <c r="A17" t="s">
        <v>74</v>
      </c>
      <c r="B17" t="s">
        <v>75</v>
      </c>
      <c r="C17" t="s">
        <v>76</v>
      </c>
      <c r="D17" t="s">
        <v>20</v>
      </c>
      <c r="E17" t="s">
        <v>14</v>
      </c>
      <c r="F17">
        <v>1</v>
      </c>
      <c r="G17">
        <v>1766</v>
      </c>
      <c r="H17">
        <v>1766</v>
      </c>
      <c r="I17" t="s">
        <v>39</v>
      </c>
      <c r="J17" t="s">
        <v>22</v>
      </c>
      <c r="K17" t="str">
        <f>LEFT(Table15[[#This Row],[Customer_Name]],3)</f>
        <v>Wen</v>
      </c>
      <c r="L17" t="str">
        <f>RIGHT(Table15[[#This Row],[Customer_Name]],3)</f>
        <v xml:space="preserve"> MD</v>
      </c>
      <c r="M17" t="str">
        <f>MID(Table15[[#This Row],[Customer_Name]],4,3)</f>
        <v xml:space="preserve">dy </v>
      </c>
      <c r="N17">
        <f>LEN(Table15[[#This Row],[Customer_Name]])</f>
        <v>15</v>
      </c>
      <c r="O17" t="str">
        <f t="shared" si="0"/>
        <v>Wendy  MD</v>
      </c>
      <c r="Q17" t="str">
        <f>UPPER(Table15[[#This Row],[Customer_Name]])</f>
        <v>WENDY WALKER MD</v>
      </c>
      <c r="R17" t="str">
        <f>LOWER(Table15[[#This Row],[Customer_Name]])</f>
        <v>wendy walker md</v>
      </c>
      <c r="S17" t="str">
        <f>TRIM(Table15[[#This Row],[Payment_Method]])</f>
        <v>UPI</v>
      </c>
      <c r="T17" t="str">
        <f>SUBSTITUTE(Table15[[#This Row],[Payment_Method]],"C","A")</f>
        <v>UPI</v>
      </c>
      <c r="U17" t="str">
        <f>REPLACE(Table15[[#This Row],[Order_ID]],2,3,"A")</f>
        <v>OA016</v>
      </c>
      <c r="V17">
        <f>FIND("a",Table15[[#This Row],[Product]])</f>
        <v>2</v>
      </c>
    </row>
    <row r="18" spans="1:22" x14ac:dyDescent="0.3">
      <c r="A18" t="s">
        <v>77</v>
      </c>
      <c r="B18" t="s">
        <v>78</v>
      </c>
      <c r="C18" t="s">
        <v>79</v>
      </c>
      <c r="D18" t="s">
        <v>13</v>
      </c>
      <c r="E18" t="s">
        <v>14</v>
      </c>
      <c r="F18">
        <v>10</v>
      </c>
      <c r="G18">
        <v>1878</v>
      </c>
      <c r="H18">
        <v>18780</v>
      </c>
      <c r="I18" t="s">
        <v>21</v>
      </c>
      <c r="J18" t="s">
        <v>22</v>
      </c>
      <c r="K18" t="str">
        <f>LEFT(Table15[[#This Row],[Customer_Name]],3)</f>
        <v>Cin</v>
      </c>
      <c r="L18" t="str">
        <f>RIGHT(Table15[[#This Row],[Customer_Name]],3)</f>
        <v>ard</v>
      </c>
      <c r="M18" t="str">
        <f>MID(Table15[[#This Row],[Customer_Name]],4,3)</f>
        <v xml:space="preserve">dy </v>
      </c>
      <c r="N18">
        <f>LEN(Table15[[#This Row],[Customer_Name]])</f>
        <v>13</v>
      </c>
      <c r="O18" t="str">
        <f t="shared" si="0"/>
        <v>Cindy ard</v>
      </c>
      <c r="Q18" t="str">
        <f>UPPER(Table15[[#This Row],[Customer_Name]])</f>
        <v>CINDY LEONARD</v>
      </c>
      <c r="R18" t="str">
        <f>LOWER(Table15[[#This Row],[Customer_Name]])</f>
        <v>cindy leonard</v>
      </c>
      <c r="S18" t="str">
        <f>TRIM(Table15[[#This Row],[Payment_Method]])</f>
        <v>UPI</v>
      </c>
      <c r="T18" t="str">
        <f>SUBSTITUTE(Table15[[#This Row],[Payment_Method]],"C","A")</f>
        <v>UPI</v>
      </c>
      <c r="U18" t="str">
        <f>REPLACE(Table15[[#This Row],[Order_ID]],2,3,"A")</f>
        <v>OA017</v>
      </c>
      <c r="V18">
        <f>FIND("a",Table15[[#This Row],[Product]])</f>
        <v>2</v>
      </c>
    </row>
    <row r="19" spans="1:22" x14ac:dyDescent="0.3">
      <c r="A19" t="s">
        <v>80</v>
      </c>
      <c r="B19" t="s">
        <v>81</v>
      </c>
      <c r="C19" t="s">
        <v>82</v>
      </c>
      <c r="D19" t="s">
        <v>49</v>
      </c>
      <c r="E19" t="s">
        <v>14</v>
      </c>
      <c r="F19">
        <v>9</v>
      </c>
      <c r="G19">
        <v>1103</v>
      </c>
      <c r="H19">
        <v>9927</v>
      </c>
      <c r="I19" t="s">
        <v>53</v>
      </c>
      <c r="J19" t="s">
        <v>40</v>
      </c>
      <c r="K19" t="str">
        <f>LEFT(Table15[[#This Row],[Customer_Name]],3)</f>
        <v>Oma</v>
      </c>
      <c r="L19" t="str">
        <f>RIGHT(Table15[[#This Row],[Customer_Name]],3)</f>
        <v>Jr.</v>
      </c>
      <c r="M19" t="str">
        <f>MID(Table15[[#This Row],[Customer_Name]],4,3)</f>
        <v>r T</v>
      </c>
      <c r="N19">
        <f>LEN(Table15[[#This Row],[Customer_Name]])</f>
        <v>15</v>
      </c>
      <c r="O19" t="str">
        <f t="shared" si="0"/>
        <v>Omar TJr.</v>
      </c>
      <c r="Q19" t="str">
        <f>UPPER(Table15[[#This Row],[Customer_Name]])</f>
        <v>OMAR TANNER JR.</v>
      </c>
      <c r="R19" t="str">
        <f>LOWER(Table15[[#This Row],[Customer_Name]])</f>
        <v>omar tanner jr.</v>
      </c>
      <c r="S19" t="str">
        <f>TRIM(Table15[[#This Row],[Payment_Method]])</f>
        <v>Net Banking</v>
      </c>
      <c r="T19" t="str">
        <f>SUBSTITUTE(Table15[[#This Row],[Payment_Method]],"C","A")</f>
        <v>Net Banking</v>
      </c>
      <c r="U19" t="str">
        <f>REPLACE(Table15[[#This Row],[Order_ID]],2,3,"A")</f>
        <v>OA018</v>
      </c>
      <c r="V19">
        <f>FIND("a",Table15[[#This Row],[Product]])</f>
        <v>2</v>
      </c>
    </row>
    <row r="20" spans="1:22" x14ac:dyDescent="0.3">
      <c r="A20" t="s">
        <v>83</v>
      </c>
      <c r="B20" t="s">
        <v>84</v>
      </c>
      <c r="C20" t="s">
        <v>85</v>
      </c>
      <c r="D20" t="s">
        <v>20</v>
      </c>
      <c r="E20" t="s">
        <v>86</v>
      </c>
      <c r="F20">
        <v>9</v>
      </c>
      <c r="G20">
        <v>921</v>
      </c>
      <c r="H20">
        <v>8289</v>
      </c>
      <c r="I20" t="s">
        <v>53</v>
      </c>
      <c r="J20" t="s">
        <v>40</v>
      </c>
      <c r="K20" t="str">
        <f>LEFT(Table15[[#This Row],[Customer_Name]],3)</f>
        <v>Cor</v>
      </c>
      <c r="L20" t="str">
        <f>RIGHT(Table15[[#This Row],[Customer_Name]],3)</f>
        <v>man</v>
      </c>
      <c r="M20" t="str">
        <f>MID(Table15[[#This Row],[Customer_Name]],4,3)</f>
        <v xml:space="preserve">ey </v>
      </c>
      <c r="N20">
        <f>LEN(Table15[[#This Row],[Customer_Name]])</f>
        <v>12</v>
      </c>
      <c r="O20" t="str">
        <f t="shared" si="0"/>
        <v>Corey man</v>
      </c>
      <c r="Q20" t="str">
        <f>UPPER(Table15[[#This Row],[Customer_Name]])</f>
        <v>COREY BOWMAN</v>
      </c>
      <c r="R20" t="str">
        <f>LOWER(Table15[[#This Row],[Customer_Name]])</f>
        <v>corey bowman</v>
      </c>
      <c r="S20" t="str">
        <f>TRIM(Table15[[#This Row],[Payment_Method]])</f>
        <v>Net Banking</v>
      </c>
      <c r="T20" t="str">
        <f>SUBSTITUTE(Table15[[#This Row],[Payment_Method]],"C","A")</f>
        <v>Net Banking</v>
      </c>
      <c r="U20" t="str">
        <f>REPLACE(Table15[[#This Row],[Order_ID]],2,3,"A")</f>
        <v>OA019</v>
      </c>
      <c r="V20" t="e">
        <f>FIND("a",Table15[[#This Row],[Product]])</f>
        <v>#VALUE!</v>
      </c>
    </row>
    <row r="21" spans="1:22" x14ac:dyDescent="0.3">
      <c r="A21" t="s">
        <v>87</v>
      </c>
      <c r="B21" t="s">
        <v>88</v>
      </c>
      <c r="C21" t="s">
        <v>89</v>
      </c>
      <c r="D21" t="s">
        <v>49</v>
      </c>
      <c r="E21" t="s">
        <v>26</v>
      </c>
      <c r="F21">
        <v>3</v>
      </c>
      <c r="G21">
        <v>1080</v>
      </c>
      <c r="H21">
        <v>3240</v>
      </c>
      <c r="I21" t="s">
        <v>35</v>
      </c>
      <c r="J21" t="s">
        <v>40</v>
      </c>
      <c r="K21" t="str">
        <f>LEFT(Table15[[#This Row],[Customer_Name]],3)</f>
        <v>Mol</v>
      </c>
      <c r="L21" t="str">
        <f>RIGHT(Table15[[#This Row],[Customer_Name]],3)</f>
        <v>ons</v>
      </c>
      <c r="M21" t="str">
        <f>MID(Table15[[#This Row],[Customer_Name]],4,3)</f>
        <v xml:space="preserve">ly </v>
      </c>
      <c r="N21">
        <f>LEN(Table15[[#This Row],[Customer_Name]])</f>
        <v>13</v>
      </c>
      <c r="O21" t="str">
        <f t="shared" si="0"/>
        <v>Molly ons</v>
      </c>
      <c r="Q21" t="str">
        <f>UPPER(Table15[[#This Row],[Customer_Name]])</f>
        <v>MOLLY SIMMONS</v>
      </c>
      <c r="R21" t="str">
        <f>LOWER(Table15[[#This Row],[Customer_Name]])</f>
        <v>molly simmons</v>
      </c>
      <c r="S21" t="str">
        <f>TRIM(Table15[[#This Row],[Payment_Method]])</f>
        <v>Net Banking</v>
      </c>
      <c r="T21" t="str">
        <f>SUBSTITUTE(Table15[[#This Row],[Payment_Method]],"C","A")</f>
        <v>Net Banking</v>
      </c>
      <c r="U21" t="str">
        <f>REPLACE(Table15[[#This Row],[Order_ID]],2,3,"A")</f>
        <v>OA020</v>
      </c>
      <c r="V21">
        <f>FIND("a",Table15[[#This Row],[Product]])</f>
        <v>3</v>
      </c>
    </row>
    <row r="22" spans="1:22" x14ac:dyDescent="0.3">
      <c r="A22" t="s">
        <v>90</v>
      </c>
      <c r="B22" t="s">
        <v>91</v>
      </c>
      <c r="C22" t="s">
        <v>92</v>
      </c>
      <c r="D22" t="s">
        <v>20</v>
      </c>
      <c r="E22" t="s">
        <v>31</v>
      </c>
      <c r="F22">
        <v>6</v>
      </c>
      <c r="G22">
        <v>1764</v>
      </c>
      <c r="H22">
        <v>10584</v>
      </c>
      <c r="I22" t="s">
        <v>35</v>
      </c>
      <c r="J22" t="s">
        <v>40</v>
      </c>
      <c r="K22" t="str">
        <f>LEFT(Table15[[#This Row],[Customer_Name]],3)</f>
        <v>Con</v>
      </c>
      <c r="L22" t="str">
        <f>RIGHT(Table15[[#This Row],[Customer_Name]],3)</f>
        <v>uld</v>
      </c>
      <c r="M22" t="str">
        <f>MID(Table15[[#This Row],[Customer_Name]],4,3)</f>
        <v>nie</v>
      </c>
      <c r="N22">
        <f>LEN(Table15[[#This Row],[Customer_Name]])</f>
        <v>12</v>
      </c>
      <c r="O22" t="str">
        <f t="shared" si="0"/>
        <v>Connieuld</v>
      </c>
      <c r="Q22" t="str">
        <f>UPPER(Table15[[#This Row],[Customer_Name]])</f>
        <v>CONNIE GOULD</v>
      </c>
      <c r="R22" t="str">
        <f>LOWER(Table15[[#This Row],[Customer_Name]])</f>
        <v>connie gould</v>
      </c>
      <c r="S22" t="str">
        <f>TRIM(Table15[[#This Row],[Payment_Method]])</f>
        <v>Net Banking</v>
      </c>
      <c r="T22" t="str">
        <f>SUBSTITUTE(Table15[[#This Row],[Payment_Method]],"C","A")</f>
        <v>Net Banking</v>
      </c>
      <c r="U22" t="str">
        <f>REPLACE(Table15[[#This Row],[Order_ID]],2,3,"A")</f>
        <v>OA021</v>
      </c>
      <c r="V22">
        <f>FIND("a",Table15[[#This Row],[Product]])</f>
        <v>6</v>
      </c>
    </row>
    <row r="23" spans="1:22" x14ac:dyDescent="0.3">
      <c r="A23" t="s">
        <v>93</v>
      </c>
      <c r="B23" t="s">
        <v>65</v>
      </c>
      <c r="C23" t="s">
        <v>94</v>
      </c>
      <c r="D23" t="s">
        <v>44</v>
      </c>
      <c r="E23" t="s">
        <v>14</v>
      </c>
      <c r="F23">
        <v>10</v>
      </c>
      <c r="G23">
        <v>865</v>
      </c>
      <c r="H23">
        <v>8650</v>
      </c>
      <c r="I23" t="s">
        <v>67</v>
      </c>
      <c r="J23" t="s">
        <v>16</v>
      </c>
      <c r="K23" t="str">
        <f>LEFT(Table15[[#This Row],[Customer_Name]],3)</f>
        <v>Fel</v>
      </c>
      <c r="L23" t="str">
        <f>RIGHT(Table15[[#This Row],[Customer_Name]],3)</f>
        <v>vis</v>
      </c>
      <c r="M23" t="str">
        <f>MID(Table15[[#This Row],[Customer_Name]],4,3)</f>
        <v>ici</v>
      </c>
      <c r="N23">
        <f>LEN(Table15[[#This Row],[Customer_Name]])</f>
        <v>13</v>
      </c>
      <c r="O23" t="str">
        <f t="shared" si="0"/>
        <v>Felicivis</v>
      </c>
      <c r="Q23" t="str">
        <f>UPPER(Table15[[#This Row],[Customer_Name]])</f>
        <v>FELICIA DAVIS</v>
      </c>
      <c r="R23" t="str">
        <f>LOWER(Table15[[#This Row],[Customer_Name]])</f>
        <v>felicia davis</v>
      </c>
      <c r="S23" t="str">
        <f>TRIM(Table15[[#This Row],[Payment_Method]])</f>
        <v>Card</v>
      </c>
      <c r="T23" t="str">
        <f>SUBSTITUTE(Table15[[#This Row],[Payment_Method]],"C","A")</f>
        <v>Aard</v>
      </c>
      <c r="U23" t="str">
        <f>REPLACE(Table15[[#This Row],[Order_ID]],2,3,"A")</f>
        <v>OA022</v>
      </c>
      <c r="V23">
        <f>FIND("a",Table15[[#This Row],[Product]])</f>
        <v>2</v>
      </c>
    </row>
    <row r="24" spans="1:22" x14ac:dyDescent="0.3">
      <c r="A24" t="s">
        <v>95</v>
      </c>
      <c r="B24" t="s">
        <v>96</v>
      </c>
      <c r="C24" t="s">
        <v>97</v>
      </c>
      <c r="D24" t="s">
        <v>49</v>
      </c>
      <c r="E24" t="s">
        <v>60</v>
      </c>
      <c r="F24">
        <v>5</v>
      </c>
      <c r="G24">
        <v>1177</v>
      </c>
      <c r="H24">
        <v>5885</v>
      </c>
      <c r="I24" t="s">
        <v>15</v>
      </c>
      <c r="J24" t="s">
        <v>40</v>
      </c>
      <c r="K24" t="str">
        <f>LEFT(Table15[[#This Row],[Customer_Name]],3)</f>
        <v>Kim</v>
      </c>
      <c r="L24" t="str">
        <f>RIGHT(Table15[[#This Row],[Customer_Name]],3)</f>
        <v>mos</v>
      </c>
      <c r="M24" t="str">
        <f>MID(Table15[[#This Row],[Customer_Name]],4,3)</f>
        <v>ber</v>
      </c>
      <c r="N24">
        <f>LEN(Table15[[#This Row],[Customer_Name]])</f>
        <v>14</v>
      </c>
      <c r="O24" t="str">
        <f t="shared" si="0"/>
        <v>Kimbermos</v>
      </c>
      <c r="Q24" t="str">
        <f>UPPER(Table15[[#This Row],[Customer_Name]])</f>
        <v>KIMBERLY RAMOS</v>
      </c>
      <c r="R24" t="str">
        <f>LOWER(Table15[[#This Row],[Customer_Name]])</f>
        <v>kimberly ramos</v>
      </c>
      <c r="S24" t="str">
        <f>TRIM(Table15[[#This Row],[Payment_Method]])</f>
        <v>Net Banking</v>
      </c>
      <c r="T24" t="str">
        <f>SUBSTITUTE(Table15[[#This Row],[Payment_Method]],"C","A")</f>
        <v>Net Banking</v>
      </c>
      <c r="U24" t="str">
        <f>REPLACE(Table15[[#This Row],[Order_ID]],2,3,"A")</f>
        <v>OA023</v>
      </c>
      <c r="V24">
        <f>FIND("a",Table15[[#This Row],[Product]])</f>
        <v>2</v>
      </c>
    </row>
    <row r="25" spans="1:22" x14ac:dyDescent="0.3">
      <c r="A25" t="s">
        <v>98</v>
      </c>
      <c r="B25" t="s">
        <v>99</v>
      </c>
      <c r="C25" t="s">
        <v>100</v>
      </c>
      <c r="D25" t="s">
        <v>44</v>
      </c>
      <c r="E25" t="s">
        <v>31</v>
      </c>
      <c r="F25">
        <v>7</v>
      </c>
      <c r="G25">
        <v>888</v>
      </c>
      <c r="H25">
        <v>6216</v>
      </c>
      <c r="I25" t="s">
        <v>67</v>
      </c>
      <c r="J25" t="s">
        <v>16</v>
      </c>
      <c r="K25" t="str">
        <f>LEFT(Table15[[#This Row],[Customer_Name]],3)</f>
        <v>Kel</v>
      </c>
      <c r="L25" t="str">
        <f>RIGHT(Table15[[#This Row],[Customer_Name]],3)</f>
        <v>ell</v>
      </c>
      <c r="M25" t="str">
        <f>MID(Table15[[#This Row],[Customer_Name]],4,3)</f>
        <v xml:space="preserve">li </v>
      </c>
      <c r="N25">
        <f>LEN(Table15[[#This Row],[Customer_Name]])</f>
        <v>13</v>
      </c>
      <c r="O25" t="str">
        <f t="shared" si="0"/>
        <v>Kelli ell</v>
      </c>
      <c r="Q25" t="str">
        <f>UPPER(Table15[[#This Row],[Customer_Name]])</f>
        <v>KELLI HARRELL</v>
      </c>
      <c r="R25" t="str">
        <f>LOWER(Table15[[#This Row],[Customer_Name]])</f>
        <v>kelli harrell</v>
      </c>
      <c r="S25" t="str">
        <f>TRIM(Table15[[#This Row],[Payment_Method]])</f>
        <v>Card</v>
      </c>
      <c r="T25" t="str">
        <f>SUBSTITUTE(Table15[[#This Row],[Payment_Method]],"C","A")</f>
        <v>Aard</v>
      </c>
      <c r="U25" t="str">
        <f>REPLACE(Table15[[#This Row],[Order_ID]],2,3,"A")</f>
        <v>OA024</v>
      </c>
      <c r="V25">
        <f>FIND("a",Table15[[#This Row],[Product]])</f>
        <v>6</v>
      </c>
    </row>
    <row r="26" spans="1:22" x14ac:dyDescent="0.3">
      <c r="A26" t="s">
        <v>101</v>
      </c>
      <c r="B26" t="s">
        <v>102</v>
      </c>
      <c r="C26" t="s">
        <v>103</v>
      </c>
      <c r="D26" t="s">
        <v>20</v>
      </c>
      <c r="E26" t="s">
        <v>14</v>
      </c>
      <c r="F26">
        <v>1</v>
      </c>
      <c r="G26">
        <v>1875</v>
      </c>
      <c r="H26">
        <v>1875</v>
      </c>
      <c r="I26" t="s">
        <v>39</v>
      </c>
      <c r="J26" t="s">
        <v>22</v>
      </c>
      <c r="K26" t="str">
        <f>LEFT(Table15[[#This Row],[Customer_Name]],3)</f>
        <v>Mel</v>
      </c>
      <c r="L26" t="str">
        <f>RIGHT(Table15[[#This Row],[Customer_Name]],3)</f>
        <v>ler</v>
      </c>
      <c r="M26" t="str">
        <f>MID(Table15[[#This Row],[Customer_Name]],4,3)</f>
        <v>iss</v>
      </c>
      <c r="N26">
        <f>LEN(Table15[[#This Row],[Customer_Name]])</f>
        <v>14</v>
      </c>
      <c r="O26" t="str">
        <f t="shared" si="0"/>
        <v>Melissler</v>
      </c>
      <c r="Q26" t="str">
        <f>UPPER(Table15[[#This Row],[Customer_Name]])</f>
        <v>MELISSA MILLER</v>
      </c>
      <c r="R26" t="str">
        <f>LOWER(Table15[[#This Row],[Customer_Name]])</f>
        <v>melissa miller</v>
      </c>
      <c r="S26" t="str">
        <f>TRIM(Table15[[#This Row],[Payment_Method]])</f>
        <v>UPI</v>
      </c>
      <c r="T26" t="str">
        <f>SUBSTITUTE(Table15[[#This Row],[Payment_Method]],"C","A")</f>
        <v>UPI</v>
      </c>
      <c r="U26" t="str">
        <f>REPLACE(Table15[[#This Row],[Order_ID]],2,3,"A")</f>
        <v>OA025</v>
      </c>
      <c r="V26">
        <f>FIND("a",Table15[[#This Row],[Product]])</f>
        <v>2</v>
      </c>
    </row>
    <row r="27" spans="1:22" x14ac:dyDescent="0.3">
      <c r="A27" t="s">
        <v>104</v>
      </c>
      <c r="B27" t="s">
        <v>105</v>
      </c>
      <c r="C27" t="s">
        <v>106</v>
      </c>
      <c r="D27" t="s">
        <v>49</v>
      </c>
      <c r="E27" t="s">
        <v>31</v>
      </c>
      <c r="F27">
        <v>2</v>
      </c>
      <c r="G27">
        <v>1778</v>
      </c>
      <c r="H27">
        <v>3556</v>
      </c>
      <c r="I27" t="s">
        <v>39</v>
      </c>
      <c r="J27" t="s">
        <v>22</v>
      </c>
      <c r="K27" t="str">
        <f>LEFT(Table15[[#This Row],[Customer_Name]],3)</f>
        <v>Lor</v>
      </c>
      <c r="L27" t="str">
        <f>RIGHT(Table15[[#This Row],[Customer_Name]],3)</f>
        <v>ard</v>
      </c>
      <c r="M27" t="str">
        <f>MID(Table15[[#This Row],[Customer_Name]],4,3)</f>
        <v>ett</v>
      </c>
      <c r="N27">
        <f>LEN(Table15[[#This Row],[Customer_Name]])</f>
        <v>14</v>
      </c>
      <c r="O27" t="str">
        <f t="shared" si="0"/>
        <v>Lorettard</v>
      </c>
      <c r="Q27" t="str">
        <f>UPPER(Table15[[#This Row],[Customer_Name]])</f>
        <v>LORETTA HOWARD</v>
      </c>
      <c r="R27" t="str">
        <f>LOWER(Table15[[#This Row],[Customer_Name]])</f>
        <v>loretta howard</v>
      </c>
      <c r="S27" t="str">
        <f>TRIM(Table15[[#This Row],[Payment_Method]])</f>
        <v>UPI</v>
      </c>
      <c r="T27" t="str">
        <f>SUBSTITUTE(Table15[[#This Row],[Payment_Method]],"C","A")</f>
        <v>UPI</v>
      </c>
      <c r="U27" t="str">
        <f>REPLACE(Table15[[#This Row],[Order_ID]],2,3,"A")</f>
        <v>OA026</v>
      </c>
      <c r="V27">
        <f>FIND("a",Table15[[#This Row],[Product]])</f>
        <v>6</v>
      </c>
    </row>
    <row r="28" spans="1:22" x14ac:dyDescent="0.3">
      <c r="A28" t="s">
        <v>107</v>
      </c>
      <c r="B28" t="s">
        <v>108</v>
      </c>
      <c r="C28" t="s">
        <v>109</v>
      </c>
      <c r="D28" t="s">
        <v>13</v>
      </c>
      <c r="E28" t="s">
        <v>14</v>
      </c>
      <c r="F28">
        <v>7</v>
      </c>
      <c r="G28">
        <v>291</v>
      </c>
      <c r="H28">
        <v>2037</v>
      </c>
      <c r="I28" t="s">
        <v>15</v>
      </c>
      <c r="J28" t="s">
        <v>40</v>
      </c>
      <c r="K28" t="str">
        <f>LEFT(Table15[[#This Row],[Customer_Name]],3)</f>
        <v>Dav</v>
      </c>
      <c r="L28" t="str">
        <f>RIGHT(Table15[[#This Row],[Customer_Name]],3)</f>
        <v>lly</v>
      </c>
      <c r="M28" t="str">
        <f>MID(Table15[[#This Row],[Customer_Name]],4,3)</f>
        <v xml:space="preserve">id </v>
      </c>
      <c r="N28">
        <f>LEN(Table15[[#This Row],[Customer_Name]])</f>
        <v>11</v>
      </c>
      <c r="O28" t="str">
        <f t="shared" si="0"/>
        <v>David lly</v>
      </c>
      <c r="Q28" t="str">
        <f>UPPER(Table15[[#This Row],[Customer_Name]])</f>
        <v>DAVID KELLY</v>
      </c>
      <c r="R28" t="str">
        <f>LOWER(Table15[[#This Row],[Customer_Name]])</f>
        <v>david kelly</v>
      </c>
      <c r="S28" t="str">
        <f>TRIM(Table15[[#This Row],[Payment_Method]])</f>
        <v>Net Banking</v>
      </c>
      <c r="T28" t="str">
        <f>SUBSTITUTE(Table15[[#This Row],[Payment_Method]],"C","A")</f>
        <v>Net Banking</v>
      </c>
      <c r="U28" t="str">
        <f>REPLACE(Table15[[#This Row],[Order_ID]],2,3,"A")</f>
        <v>OA027</v>
      </c>
      <c r="V28">
        <f>FIND("a",Table15[[#This Row],[Product]])</f>
        <v>2</v>
      </c>
    </row>
    <row r="29" spans="1:22" x14ac:dyDescent="0.3">
      <c r="A29" t="s">
        <v>110</v>
      </c>
      <c r="B29" t="s">
        <v>111</v>
      </c>
      <c r="C29" t="s">
        <v>112</v>
      </c>
      <c r="D29" t="s">
        <v>13</v>
      </c>
      <c r="E29" t="s">
        <v>31</v>
      </c>
      <c r="F29">
        <v>10</v>
      </c>
      <c r="G29">
        <v>1960</v>
      </c>
      <c r="H29">
        <v>19600</v>
      </c>
      <c r="I29" t="s">
        <v>53</v>
      </c>
      <c r="J29" t="s">
        <v>22</v>
      </c>
      <c r="K29" t="str">
        <f>LEFT(Table15[[#This Row],[Customer_Name]],3)</f>
        <v>Lau</v>
      </c>
      <c r="L29" t="str">
        <f>RIGHT(Table15[[#This Row],[Customer_Name]],3)</f>
        <v>oth</v>
      </c>
      <c r="M29" t="str">
        <f>MID(Table15[[#This Row],[Customer_Name]],4,3)</f>
        <v xml:space="preserve">ra </v>
      </c>
      <c r="N29">
        <f>LEN(Table15[[#This Row],[Customer_Name]])</f>
        <v>11</v>
      </c>
      <c r="O29" t="str">
        <f t="shared" si="0"/>
        <v>Laura oth</v>
      </c>
      <c r="Q29" t="str">
        <f>UPPER(Table15[[#This Row],[Customer_Name]])</f>
        <v>LAURA BOOTH</v>
      </c>
      <c r="R29" t="str">
        <f>LOWER(Table15[[#This Row],[Customer_Name]])</f>
        <v>laura booth</v>
      </c>
      <c r="S29" t="str">
        <f>TRIM(Table15[[#This Row],[Payment_Method]])</f>
        <v>UPI</v>
      </c>
      <c r="T29" t="str">
        <f>SUBSTITUTE(Table15[[#This Row],[Payment_Method]],"C","A")</f>
        <v>UPI</v>
      </c>
      <c r="U29" t="str">
        <f>REPLACE(Table15[[#This Row],[Order_ID]],2,3,"A")</f>
        <v>OA028</v>
      </c>
      <c r="V29">
        <f>FIND("a",Table15[[#This Row],[Product]])</f>
        <v>6</v>
      </c>
    </row>
    <row r="30" spans="1:22" x14ac:dyDescent="0.3">
      <c r="A30" t="s">
        <v>113</v>
      </c>
      <c r="B30" t="s">
        <v>114</v>
      </c>
      <c r="C30" t="s">
        <v>115</v>
      </c>
      <c r="D30" t="s">
        <v>20</v>
      </c>
      <c r="E30" t="s">
        <v>26</v>
      </c>
      <c r="F30">
        <v>3</v>
      </c>
      <c r="G30">
        <v>798</v>
      </c>
      <c r="H30">
        <v>2394</v>
      </c>
      <c r="I30" t="s">
        <v>15</v>
      </c>
      <c r="J30" t="s">
        <v>16</v>
      </c>
      <c r="K30" t="str">
        <f>LEFT(Table15[[#This Row],[Customer_Name]],3)</f>
        <v>Kel</v>
      </c>
      <c r="L30" t="str">
        <f>RIGHT(Table15[[#This Row],[Customer_Name]],3)</f>
        <v>ger</v>
      </c>
      <c r="M30" t="str">
        <f>MID(Table15[[#This Row],[Customer_Name]],4,3)</f>
        <v xml:space="preserve">ly </v>
      </c>
      <c r="N30">
        <f>LEN(Table15[[#This Row],[Customer_Name]])</f>
        <v>12</v>
      </c>
      <c r="O30" t="str">
        <f t="shared" si="0"/>
        <v>Kelly ger</v>
      </c>
      <c r="Q30" t="str">
        <f>UPPER(Table15[[#This Row],[Customer_Name]])</f>
        <v>KELLY BERGER</v>
      </c>
      <c r="R30" t="str">
        <f>LOWER(Table15[[#This Row],[Customer_Name]])</f>
        <v>kelly berger</v>
      </c>
      <c r="S30" t="str">
        <f>TRIM(Table15[[#This Row],[Payment_Method]])</f>
        <v>Card</v>
      </c>
      <c r="T30" t="str">
        <f>SUBSTITUTE(Table15[[#This Row],[Payment_Method]],"C","A")</f>
        <v>Aard</v>
      </c>
      <c r="U30" t="str">
        <f>REPLACE(Table15[[#This Row],[Order_ID]],2,3,"A")</f>
        <v>OA029</v>
      </c>
      <c r="V30">
        <f>FIND("a",Table15[[#This Row],[Product]])</f>
        <v>3</v>
      </c>
    </row>
    <row r="31" spans="1:22" x14ac:dyDescent="0.3">
      <c r="A31" t="s">
        <v>116</v>
      </c>
      <c r="B31" t="s">
        <v>117</v>
      </c>
      <c r="C31" t="s">
        <v>118</v>
      </c>
      <c r="D31" t="s">
        <v>20</v>
      </c>
      <c r="E31" t="s">
        <v>26</v>
      </c>
      <c r="F31">
        <v>3</v>
      </c>
      <c r="G31">
        <v>1945</v>
      </c>
      <c r="H31">
        <v>5835</v>
      </c>
      <c r="I31" t="s">
        <v>21</v>
      </c>
      <c r="J31" t="s">
        <v>16</v>
      </c>
      <c r="K31" t="str">
        <f>LEFT(Table15[[#This Row],[Customer_Name]],3)</f>
        <v>Ang</v>
      </c>
      <c r="L31" t="str">
        <f>RIGHT(Table15[[#This Row],[Customer_Name]],3)</f>
        <v>ill</v>
      </c>
      <c r="M31" t="str">
        <f>MID(Table15[[#This Row],[Customer_Name]],4,3)</f>
        <v>ela</v>
      </c>
      <c r="N31">
        <f>LEN(Table15[[#This Row],[Customer_Name]])</f>
        <v>11</v>
      </c>
      <c r="O31" t="str">
        <f t="shared" si="0"/>
        <v>Angelaill</v>
      </c>
      <c r="Q31" t="str">
        <f>UPPER(Table15[[#This Row],[Customer_Name]])</f>
        <v>ANGELA HILL</v>
      </c>
      <c r="R31" t="str">
        <f>LOWER(Table15[[#This Row],[Customer_Name]])</f>
        <v>angela hill</v>
      </c>
      <c r="S31" t="str">
        <f>TRIM(Table15[[#This Row],[Payment_Method]])</f>
        <v>Card</v>
      </c>
      <c r="T31" t="str">
        <f>SUBSTITUTE(Table15[[#This Row],[Payment_Method]],"C","A")</f>
        <v>Aard</v>
      </c>
      <c r="U31" t="str">
        <f>REPLACE(Table15[[#This Row],[Order_ID]],2,3,"A")</f>
        <v>OA030</v>
      </c>
      <c r="V31">
        <f>FIND("a",Table15[[#This Row],[Product]])</f>
        <v>3</v>
      </c>
    </row>
    <row r="32" spans="1:22" x14ac:dyDescent="0.3">
      <c r="A32" t="s">
        <v>119</v>
      </c>
      <c r="B32" t="s">
        <v>120</v>
      </c>
      <c r="C32" t="s">
        <v>121</v>
      </c>
      <c r="D32" t="s">
        <v>44</v>
      </c>
      <c r="E32" t="s">
        <v>26</v>
      </c>
      <c r="F32">
        <v>2</v>
      </c>
      <c r="G32">
        <v>1190</v>
      </c>
      <c r="H32">
        <v>2380</v>
      </c>
      <c r="I32" t="s">
        <v>35</v>
      </c>
      <c r="J32" t="s">
        <v>16</v>
      </c>
      <c r="K32" t="str">
        <f>LEFT(Table15[[#This Row],[Customer_Name]],3)</f>
        <v>Ale</v>
      </c>
      <c r="L32" t="str">
        <f>RIGHT(Table15[[#This Row],[Customer_Name]],3)</f>
        <v>nez</v>
      </c>
      <c r="M32" t="str">
        <f>MID(Table15[[#This Row],[Customer_Name]],4,3)</f>
        <v>xan</v>
      </c>
      <c r="N32">
        <f>LEN(Table15[[#This Row],[Customer_Name]])</f>
        <v>15</v>
      </c>
      <c r="O32" t="str">
        <f t="shared" si="0"/>
        <v>Alexannez</v>
      </c>
      <c r="Q32" t="str">
        <f>UPPER(Table15[[#This Row],[Customer_Name]])</f>
        <v>ALEXANDER NUNEZ</v>
      </c>
      <c r="R32" t="str">
        <f>LOWER(Table15[[#This Row],[Customer_Name]])</f>
        <v>alexander nunez</v>
      </c>
      <c r="S32" t="str">
        <f>TRIM(Table15[[#This Row],[Payment_Method]])</f>
        <v>Card</v>
      </c>
      <c r="T32" t="str">
        <f>SUBSTITUTE(Table15[[#This Row],[Payment_Method]],"C","A")</f>
        <v>Aard</v>
      </c>
      <c r="U32" t="str">
        <f>REPLACE(Table15[[#This Row],[Order_ID]],2,3,"A")</f>
        <v>OA031</v>
      </c>
      <c r="V32">
        <f>FIND("a",Table15[[#This Row],[Product]])</f>
        <v>3</v>
      </c>
    </row>
    <row r="33" spans="1:22" x14ac:dyDescent="0.3">
      <c r="A33" t="s">
        <v>122</v>
      </c>
      <c r="B33" t="s">
        <v>123</v>
      </c>
      <c r="C33" t="s">
        <v>124</v>
      </c>
      <c r="D33" t="s">
        <v>13</v>
      </c>
      <c r="E33" t="s">
        <v>26</v>
      </c>
      <c r="F33">
        <v>3</v>
      </c>
      <c r="G33">
        <v>1481</v>
      </c>
      <c r="H33">
        <v>4443</v>
      </c>
      <c r="I33" t="s">
        <v>39</v>
      </c>
      <c r="J33" t="s">
        <v>22</v>
      </c>
      <c r="K33" t="str">
        <f>LEFT(Table15[[#This Row],[Customer_Name]],3)</f>
        <v>Mic</v>
      </c>
      <c r="L33" t="str">
        <f>RIGHT(Table15[[#This Row],[Customer_Name]],3)</f>
        <v>ggs</v>
      </c>
      <c r="M33" t="str">
        <f>MID(Table15[[#This Row],[Customer_Name]],4,3)</f>
        <v>hel</v>
      </c>
      <c r="N33">
        <f>LEN(Table15[[#This Row],[Customer_Name]])</f>
        <v>13</v>
      </c>
      <c r="O33" t="str">
        <f t="shared" si="0"/>
        <v>Michelggs</v>
      </c>
      <c r="Q33" t="str">
        <f>UPPER(Table15[[#This Row],[Customer_Name]])</f>
        <v>MICHELE RIGGS</v>
      </c>
      <c r="R33" t="str">
        <f>LOWER(Table15[[#This Row],[Customer_Name]])</f>
        <v>michele riggs</v>
      </c>
      <c r="S33" t="str">
        <f>TRIM(Table15[[#This Row],[Payment_Method]])</f>
        <v>UPI</v>
      </c>
      <c r="T33" t="str">
        <f>SUBSTITUTE(Table15[[#This Row],[Payment_Method]],"C","A")</f>
        <v>UPI</v>
      </c>
      <c r="U33" t="str">
        <f>REPLACE(Table15[[#This Row],[Order_ID]],2,3,"A")</f>
        <v>OA032</v>
      </c>
      <c r="V33">
        <f>FIND("a",Table15[[#This Row],[Product]])</f>
        <v>3</v>
      </c>
    </row>
    <row r="34" spans="1:22" x14ac:dyDescent="0.3">
      <c r="A34" t="s">
        <v>125</v>
      </c>
      <c r="B34" t="s">
        <v>126</v>
      </c>
      <c r="C34" t="s">
        <v>127</v>
      </c>
      <c r="D34" t="s">
        <v>13</v>
      </c>
      <c r="E34" t="s">
        <v>60</v>
      </c>
      <c r="F34">
        <v>10</v>
      </c>
      <c r="G34">
        <v>1840</v>
      </c>
      <c r="H34">
        <v>18400</v>
      </c>
      <c r="I34" t="s">
        <v>39</v>
      </c>
      <c r="J34" t="s">
        <v>16</v>
      </c>
      <c r="K34" t="str">
        <f>LEFT(Table15[[#This Row],[Customer_Name]],3)</f>
        <v>Mic</v>
      </c>
      <c r="L34" t="str">
        <f>RIGHT(Table15[[#This Row],[Customer_Name]],3)</f>
        <v>son</v>
      </c>
      <c r="M34" t="str">
        <f>MID(Table15[[#This Row],[Customer_Name]],4,3)</f>
        <v>hel</v>
      </c>
      <c r="N34">
        <f>LEN(Table15[[#This Row],[Customer_Name]])</f>
        <v>15</v>
      </c>
      <c r="O34" t="str">
        <f t="shared" si="0"/>
        <v>Michelson</v>
      </c>
      <c r="Q34" t="str">
        <f>UPPER(Table15[[#This Row],[Customer_Name]])</f>
        <v>MICHELLE WATSON</v>
      </c>
      <c r="R34" t="str">
        <f>LOWER(Table15[[#This Row],[Customer_Name]])</f>
        <v>michelle watson</v>
      </c>
      <c r="S34" t="str">
        <f>TRIM(Table15[[#This Row],[Payment_Method]])</f>
        <v>Card</v>
      </c>
      <c r="T34" t="str">
        <f>SUBSTITUTE(Table15[[#This Row],[Payment_Method]],"C","A")</f>
        <v>Aard</v>
      </c>
      <c r="U34" t="str">
        <f>REPLACE(Table15[[#This Row],[Order_ID]],2,3,"A")</f>
        <v>OA033</v>
      </c>
      <c r="V34">
        <f>FIND("a",Table15[[#This Row],[Product]])</f>
        <v>2</v>
      </c>
    </row>
    <row r="35" spans="1:22" x14ac:dyDescent="0.3">
      <c r="A35" t="s">
        <v>128</v>
      </c>
      <c r="B35" t="s">
        <v>129</v>
      </c>
      <c r="C35" t="s">
        <v>130</v>
      </c>
      <c r="D35" t="s">
        <v>49</v>
      </c>
      <c r="E35" t="s">
        <v>86</v>
      </c>
      <c r="F35">
        <v>4</v>
      </c>
      <c r="G35">
        <v>285</v>
      </c>
      <c r="H35">
        <v>1140</v>
      </c>
      <c r="I35" t="s">
        <v>21</v>
      </c>
      <c r="J35" t="s">
        <v>22</v>
      </c>
      <c r="K35" t="str">
        <f>LEFT(Table15[[#This Row],[Customer_Name]],3)</f>
        <v>Ver</v>
      </c>
      <c r="L35" t="str">
        <f>RIGHT(Table15[[#This Row],[Customer_Name]],3)</f>
        <v>son</v>
      </c>
      <c r="M35" t="str">
        <f>MID(Table15[[#This Row],[Customer_Name]],4,3)</f>
        <v>oni</v>
      </c>
      <c r="N35">
        <f>LEN(Table15[[#This Row],[Customer_Name]])</f>
        <v>17</v>
      </c>
      <c r="O35" t="str">
        <f t="shared" si="0"/>
        <v>Veronison</v>
      </c>
      <c r="Q35" t="str">
        <f>UPPER(Table15[[#This Row],[Customer_Name]])</f>
        <v>VERONICA THOMPSON</v>
      </c>
      <c r="R35" t="str">
        <f>LOWER(Table15[[#This Row],[Customer_Name]])</f>
        <v>veronica thompson</v>
      </c>
      <c r="S35" t="str">
        <f>TRIM(Table15[[#This Row],[Payment_Method]])</f>
        <v>UPI</v>
      </c>
      <c r="T35" t="str">
        <f>SUBSTITUTE(Table15[[#This Row],[Payment_Method]],"C","A")</f>
        <v>UPI</v>
      </c>
      <c r="U35" t="str">
        <f>REPLACE(Table15[[#This Row],[Order_ID]],2,3,"A")</f>
        <v>OA034</v>
      </c>
      <c r="V35" t="e">
        <f>FIND("a",Table15[[#This Row],[Product]])</f>
        <v>#VALUE!</v>
      </c>
    </row>
    <row r="36" spans="1:22" x14ac:dyDescent="0.3">
      <c r="A36" t="s">
        <v>131</v>
      </c>
      <c r="B36" t="s">
        <v>132</v>
      </c>
      <c r="C36" t="s">
        <v>133</v>
      </c>
      <c r="D36" t="s">
        <v>49</v>
      </c>
      <c r="E36" t="s">
        <v>31</v>
      </c>
      <c r="F36">
        <v>7</v>
      </c>
      <c r="G36">
        <v>424</v>
      </c>
      <c r="H36">
        <v>2968</v>
      </c>
      <c r="I36" t="s">
        <v>39</v>
      </c>
      <c r="J36" t="s">
        <v>40</v>
      </c>
      <c r="K36" t="str">
        <f>LEFT(Table15[[#This Row],[Customer_Name]],3)</f>
        <v>Meg</v>
      </c>
      <c r="L36" t="str">
        <f>RIGHT(Table15[[#This Row],[Customer_Name]],3)</f>
        <v>sen</v>
      </c>
      <c r="M36" t="str">
        <f>MID(Table15[[#This Row],[Customer_Name]],4,3)</f>
        <v xml:space="preserve">an </v>
      </c>
      <c r="N36">
        <f>LEN(Table15[[#This Row],[Customer_Name]])</f>
        <v>14</v>
      </c>
      <c r="O36" t="str">
        <f t="shared" si="0"/>
        <v>Megan sen</v>
      </c>
      <c r="Q36" t="str">
        <f>UPPER(Table15[[#This Row],[Customer_Name]])</f>
        <v>MEGAN PETERSEN</v>
      </c>
      <c r="R36" t="str">
        <f>LOWER(Table15[[#This Row],[Customer_Name]])</f>
        <v>megan petersen</v>
      </c>
      <c r="S36" t="str">
        <f>TRIM(Table15[[#This Row],[Payment_Method]])</f>
        <v>Net Banking</v>
      </c>
      <c r="T36" t="str">
        <f>SUBSTITUTE(Table15[[#This Row],[Payment_Method]],"C","A")</f>
        <v>Net Banking</v>
      </c>
      <c r="U36" t="str">
        <f>REPLACE(Table15[[#This Row],[Order_ID]],2,3,"A")</f>
        <v>OA035</v>
      </c>
      <c r="V36">
        <f>FIND("a",Table15[[#This Row],[Product]])</f>
        <v>6</v>
      </c>
    </row>
    <row r="37" spans="1:22" x14ac:dyDescent="0.3">
      <c r="A37" t="s">
        <v>134</v>
      </c>
      <c r="B37" t="s">
        <v>135</v>
      </c>
      <c r="C37" t="s">
        <v>136</v>
      </c>
      <c r="D37" t="s">
        <v>13</v>
      </c>
      <c r="E37" t="s">
        <v>86</v>
      </c>
      <c r="F37">
        <v>2</v>
      </c>
      <c r="G37">
        <v>1531</v>
      </c>
      <c r="H37">
        <v>3062</v>
      </c>
      <c r="I37" t="s">
        <v>53</v>
      </c>
      <c r="J37" t="s">
        <v>27</v>
      </c>
      <c r="K37" t="str">
        <f>LEFT(Table15[[#This Row],[Customer_Name]],3)</f>
        <v>Kri</v>
      </c>
      <c r="L37" t="str">
        <f>RIGHT(Table15[[#This Row],[Customer_Name]],3)</f>
        <v>ith</v>
      </c>
      <c r="M37" t="str">
        <f>MID(Table15[[#This Row],[Customer_Name]],4,3)</f>
        <v>sti</v>
      </c>
      <c r="N37">
        <f>LEN(Table15[[#This Row],[Customer_Name]])</f>
        <v>12</v>
      </c>
      <c r="O37" t="str">
        <f t="shared" si="0"/>
        <v>Kristiith</v>
      </c>
      <c r="Q37" t="str">
        <f>UPPER(Table15[[#This Row],[Customer_Name]])</f>
        <v>KRISTI SMITH</v>
      </c>
      <c r="R37" t="str">
        <f>LOWER(Table15[[#This Row],[Customer_Name]])</f>
        <v>kristi smith</v>
      </c>
      <c r="S37" t="str">
        <f>TRIM(Table15[[#This Row],[Payment_Method]])</f>
        <v>Cash</v>
      </c>
      <c r="T37" t="str">
        <f>SUBSTITUTE(Table15[[#This Row],[Payment_Method]],"C","A")</f>
        <v>Aash</v>
      </c>
      <c r="U37" t="str">
        <f>REPLACE(Table15[[#This Row],[Order_ID]],2,3,"A")</f>
        <v>OA036</v>
      </c>
      <c r="V37" t="e">
        <f>FIND("a",Table15[[#This Row],[Product]])</f>
        <v>#VALUE!</v>
      </c>
    </row>
    <row r="38" spans="1:22" x14ac:dyDescent="0.3">
      <c r="A38" t="s">
        <v>137</v>
      </c>
      <c r="B38" t="s">
        <v>138</v>
      </c>
      <c r="C38" t="s">
        <v>139</v>
      </c>
      <c r="D38" t="s">
        <v>13</v>
      </c>
      <c r="E38" t="s">
        <v>45</v>
      </c>
      <c r="F38">
        <v>9</v>
      </c>
      <c r="G38">
        <v>256</v>
      </c>
      <c r="H38">
        <v>2304</v>
      </c>
      <c r="I38" t="s">
        <v>15</v>
      </c>
      <c r="J38" t="s">
        <v>40</v>
      </c>
      <c r="K38" t="str">
        <f>LEFT(Table15[[#This Row],[Customer_Name]],3)</f>
        <v>Jos</v>
      </c>
      <c r="L38" t="str">
        <f>RIGHT(Table15[[#This Row],[Customer_Name]],3)</f>
        <v>art</v>
      </c>
      <c r="M38" t="str">
        <f>MID(Table15[[#This Row],[Customer_Name]],4,3)</f>
        <v>hua</v>
      </c>
      <c r="N38">
        <f>LEN(Table15[[#This Row],[Customer_Name]])</f>
        <v>14</v>
      </c>
      <c r="O38" t="str">
        <f t="shared" si="0"/>
        <v>Joshuaart</v>
      </c>
      <c r="Q38" t="str">
        <f>UPPER(Table15[[#This Row],[Customer_Name]])</f>
        <v>JOSHUA STEWART</v>
      </c>
      <c r="R38" t="str">
        <f>LOWER(Table15[[#This Row],[Customer_Name]])</f>
        <v>joshua stewart</v>
      </c>
      <c r="S38" t="str">
        <f>TRIM(Table15[[#This Row],[Payment_Method]])</f>
        <v>Net Banking</v>
      </c>
      <c r="T38" t="str">
        <f>SUBSTITUTE(Table15[[#This Row],[Payment_Method]],"C","A")</f>
        <v>Net Banking</v>
      </c>
      <c r="U38" t="str">
        <f>REPLACE(Table15[[#This Row],[Order_ID]],2,3,"A")</f>
        <v>OA037</v>
      </c>
      <c r="V38" t="e">
        <f>FIND("a",Table15[[#This Row],[Product]])</f>
        <v>#VALUE!</v>
      </c>
    </row>
    <row r="39" spans="1:22" x14ac:dyDescent="0.3">
      <c r="A39" t="s">
        <v>140</v>
      </c>
      <c r="B39" t="s">
        <v>141</v>
      </c>
      <c r="C39" t="s">
        <v>142</v>
      </c>
      <c r="D39" t="s">
        <v>13</v>
      </c>
      <c r="E39" t="s">
        <v>45</v>
      </c>
      <c r="F39">
        <v>10</v>
      </c>
      <c r="G39">
        <v>212</v>
      </c>
      <c r="H39">
        <v>2120</v>
      </c>
      <c r="I39" t="s">
        <v>39</v>
      </c>
      <c r="J39" t="s">
        <v>27</v>
      </c>
      <c r="K39" t="str">
        <f>LEFT(Table15[[#This Row],[Customer_Name]],3)</f>
        <v>Jas</v>
      </c>
      <c r="L39" t="str">
        <f>RIGHT(Table15[[#This Row],[Customer_Name]],3)</f>
        <v>her</v>
      </c>
      <c r="M39" t="str">
        <f>MID(Table15[[#This Row],[Customer_Name]],4,3)</f>
        <v xml:space="preserve">on </v>
      </c>
      <c r="N39">
        <f>LEN(Table15[[#This Row],[Customer_Name]])</f>
        <v>12</v>
      </c>
      <c r="O39" t="str">
        <f t="shared" si="0"/>
        <v>Jason her</v>
      </c>
      <c r="Q39" t="str">
        <f>UPPER(Table15[[#This Row],[Customer_Name]])</f>
        <v>JASON FISHER</v>
      </c>
      <c r="R39" t="str">
        <f>LOWER(Table15[[#This Row],[Customer_Name]])</f>
        <v>jason fisher</v>
      </c>
      <c r="S39" t="str">
        <f>TRIM(Table15[[#This Row],[Payment_Method]])</f>
        <v>Cash</v>
      </c>
      <c r="T39" t="str">
        <f>SUBSTITUTE(Table15[[#This Row],[Payment_Method]],"C","A")</f>
        <v>Aash</v>
      </c>
      <c r="U39" t="str">
        <f>REPLACE(Table15[[#This Row],[Order_ID]],2,3,"A")</f>
        <v>OA038</v>
      </c>
      <c r="V39" t="e">
        <f>FIND("a",Table15[[#This Row],[Product]])</f>
        <v>#VALUE!</v>
      </c>
    </row>
    <row r="40" spans="1:22" x14ac:dyDescent="0.3">
      <c r="A40" t="s">
        <v>143</v>
      </c>
      <c r="B40" t="s">
        <v>144</v>
      </c>
      <c r="C40" t="s">
        <v>145</v>
      </c>
      <c r="D40" t="s">
        <v>13</v>
      </c>
      <c r="E40" t="s">
        <v>31</v>
      </c>
      <c r="F40">
        <v>6</v>
      </c>
      <c r="G40">
        <v>753</v>
      </c>
      <c r="H40">
        <v>4518</v>
      </c>
      <c r="I40" t="s">
        <v>67</v>
      </c>
      <c r="J40" t="s">
        <v>16</v>
      </c>
      <c r="K40" t="str">
        <f>LEFT(Table15[[#This Row],[Customer_Name]],3)</f>
        <v>Rho</v>
      </c>
      <c r="L40" t="str">
        <f>RIGHT(Table15[[#This Row],[Customer_Name]],3)</f>
        <v>ert</v>
      </c>
      <c r="M40" t="str">
        <f>MID(Table15[[#This Row],[Customer_Name]],4,3)</f>
        <v>nda</v>
      </c>
      <c r="N40">
        <f>LEN(Table15[[#This Row],[Customer_Name]])</f>
        <v>13</v>
      </c>
      <c r="O40" t="str">
        <f t="shared" si="0"/>
        <v>Rhondaert</v>
      </c>
      <c r="Q40" t="str">
        <f>UPPER(Table15[[#This Row],[Customer_Name]])</f>
        <v>RHONDA HEBERT</v>
      </c>
      <c r="R40" t="str">
        <f>LOWER(Table15[[#This Row],[Customer_Name]])</f>
        <v>rhonda hebert</v>
      </c>
      <c r="S40" t="str">
        <f>TRIM(Table15[[#This Row],[Payment_Method]])</f>
        <v>Card</v>
      </c>
      <c r="T40" t="str">
        <f>SUBSTITUTE(Table15[[#This Row],[Payment_Method]],"C","A")</f>
        <v>Aard</v>
      </c>
      <c r="U40" t="str">
        <f>REPLACE(Table15[[#This Row],[Order_ID]],2,3,"A")</f>
        <v>OA039</v>
      </c>
      <c r="V40">
        <f>FIND("a",Table15[[#This Row],[Product]])</f>
        <v>6</v>
      </c>
    </row>
    <row r="41" spans="1:22" x14ac:dyDescent="0.3">
      <c r="A41" t="s">
        <v>146</v>
      </c>
      <c r="B41" t="s">
        <v>147</v>
      </c>
      <c r="C41" t="s">
        <v>148</v>
      </c>
      <c r="D41" t="s">
        <v>20</v>
      </c>
      <c r="E41" t="s">
        <v>31</v>
      </c>
      <c r="F41">
        <v>4</v>
      </c>
      <c r="G41">
        <v>1443</v>
      </c>
      <c r="H41">
        <v>5772</v>
      </c>
      <c r="I41" t="s">
        <v>21</v>
      </c>
      <c r="J41" t="s">
        <v>16</v>
      </c>
      <c r="K41" t="str">
        <f>LEFT(Table15[[#This Row],[Customer_Name]],3)</f>
        <v>Mar</v>
      </c>
      <c r="L41" t="str">
        <f>RIGHT(Table15[[#This Row],[Customer_Name]],3)</f>
        <v>vey</v>
      </c>
      <c r="M41" t="str">
        <f>MID(Table15[[#This Row],[Customer_Name]],4,3)</f>
        <v>k H</v>
      </c>
      <c r="N41">
        <f>LEN(Table15[[#This Row],[Customer_Name]])</f>
        <v>11</v>
      </c>
      <c r="O41" t="str">
        <f t="shared" si="0"/>
        <v>Mark Hvey</v>
      </c>
      <c r="Q41" t="str">
        <f>UPPER(Table15[[#This Row],[Customer_Name]])</f>
        <v>MARK HARVEY</v>
      </c>
      <c r="R41" t="str">
        <f>LOWER(Table15[[#This Row],[Customer_Name]])</f>
        <v>mark harvey</v>
      </c>
      <c r="S41" t="str">
        <f>TRIM(Table15[[#This Row],[Payment_Method]])</f>
        <v>Card</v>
      </c>
      <c r="T41" t="str">
        <f>SUBSTITUTE(Table15[[#This Row],[Payment_Method]],"C","A")</f>
        <v>Aard</v>
      </c>
      <c r="U41" t="str">
        <f>REPLACE(Table15[[#This Row],[Order_ID]],2,3,"A")</f>
        <v>OA040</v>
      </c>
      <c r="V41">
        <f>FIND("a",Table15[[#This Row],[Product]])</f>
        <v>6</v>
      </c>
    </row>
    <row r="42" spans="1:22" x14ac:dyDescent="0.3">
      <c r="A42" t="s">
        <v>149</v>
      </c>
      <c r="B42" t="s">
        <v>150</v>
      </c>
      <c r="C42" t="s">
        <v>151</v>
      </c>
      <c r="D42" t="s">
        <v>13</v>
      </c>
      <c r="E42" t="s">
        <v>31</v>
      </c>
      <c r="F42">
        <v>3</v>
      </c>
      <c r="G42">
        <v>1930</v>
      </c>
      <c r="H42">
        <v>5790</v>
      </c>
      <c r="I42" t="s">
        <v>39</v>
      </c>
      <c r="J42" t="s">
        <v>16</v>
      </c>
      <c r="K42" t="str">
        <f>LEFT(Table15[[#This Row],[Customer_Name]],3)</f>
        <v>Pau</v>
      </c>
      <c r="L42" t="str">
        <f>RIGHT(Table15[[#This Row],[Customer_Name]],3)</f>
        <v>osh</v>
      </c>
      <c r="M42" t="str">
        <f>MID(Table15[[#This Row],[Customer_Name]],4,3)</f>
        <v xml:space="preserve">la </v>
      </c>
      <c r="N42">
        <f>LEN(Table15[[#This Row],[Customer_Name]])</f>
        <v>14</v>
      </c>
      <c r="O42" t="str">
        <f t="shared" si="0"/>
        <v>Paula osh</v>
      </c>
      <c r="Q42" t="str">
        <f>UPPER(Table15[[#This Row],[Customer_Name]])</f>
        <v>PAULA MCINTOSH</v>
      </c>
      <c r="R42" t="str">
        <f>LOWER(Table15[[#This Row],[Customer_Name]])</f>
        <v>paula mcintosh</v>
      </c>
      <c r="S42" t="str">
        <f>TRIM(Table15[[#This Row],[Payment_Method]])</f>
        <v>Card</v>
      </c>
      <c r="T42" t="str">
        <f>SUBSTITUTE(Table15[[#This Row],[Payment_Method]],"C","A")</f>
        <v>Aard</v>
      </c>
      <c r="U42" t="str">
        <f>REPLACE(Table15[[#This Row],[Order_ID]],2,3,"A")</f>
        <v>OA041</v>
      </c>
      <c r="V42">
        <f>FIND("a",Table15[[#This Row],[Product]])</f>
        <v>6</v>
      </c>
    </row>
    <row r="43" spans="1:22" x14ac:dyDescent="0.3">
      <c r="A43" t="s">
        <v>152</v>
      </c>
      <c r="B43" t="s">
        <v>120</v>
      </c>
      <c r="C43" t="s">
        <v>153</v>
      </c>
      <c r="D43" t="s">
        <v>49</v>
      </c>
      <c r="E43" t="s">
        <v>31</v>
      </c>
      <c r="F43">
        <v>9</v>
      </c>
      <c r="G43">
        <v>1394</v>
      </c>
      <c r="H43">
        <v>12546</v>
      </c>
      <c r="I43" t="s">
        <v>53</v>
      </c>
      <c r="J43" t="s">
        <v>22</v>
      </c>
      <c r="K43" t="str">
        <f>LEFT(Table15[[#This Row],[Customer_Name]],3)</f>
        <v>Lyn</v>
      </c>
      <c r="L43" t="str">
        <f>RIGHT(Table15[[#This Row],[Customer_Name]],3)</f>
        <v>ond</v>
      </c>
      <c r="M43" t="str">
        <f>MID(Table15[[#This Row],[Customer_Name]],4,3)</f>
        <v>n H</v>
      </c>
      <c r="N43">
        <f>LEN(Table15[[#This Row],[Customer_Name]])</f>
        <v>12</v>
      </c>
      <c r="O43" t="str">
        <f t="shared" si="0"/>
        <v>Lynn Hond</v>
      </c>
      <c r="Q43" t="str">
        <f>UPPER(Table15[[#This Row],[Customer_Name]])</f>
        <v>LYNN HAMMOND</v>
      </c>
      <c r="R43" t="str">
        <f>LOWER(Table15[[#This Row],[Customer_Name]])</f>
        <v>lynn hammond</v>
      </c>
      <c r="S43" t="str">
        <f>TRIM(Table15[[#This Row],[Payment_Method]])</f>
        <v>UPI</v>
      </c>
      <c r="T43" t="str">
        <f>SUBSTITUTE(Table15[[#This Row],[Payment_Method]],"C","A")</f>
        <v>UPI</v>
      </c>
      <c r="U43" t="str">
        <f>REPLACE(Table15[[#This Row],[Order_ID]],2,3,"A")</f>
        <v>OA042</v>
      </c>
      <c r="V43">
        <f>FIND("a",Table15[[#This Row],[Product]])</f>
        <v>6</v>
      </c>
    </row>
    <row r="44" spans="1:22" x14ac:dyDescent="0.3">
      <c r="A44" t="s">
        <v>154</v>
      </c>
      <c r="B44" t="s">
        <v>155</v>
      </c>
      <c r="C44" t="s">
        <v>156</v>
      </c>
      <c r="D44" t="s">
        <v>20</v>
      </c>
      <c r="E44" t="s">
        <v>31</v>
      </c>
      <c r="F44">
        <v>3</v>
      </c>
      <c r="G44">
        <v>529</v>
      </c>
      <c r="H44">
        <v>1587</v>
      </c>
      <c r="I44" t="s">
        <v>15</v>
      </c>
      <c r="J44" t="s">
        <v>27</v>
      </c>
      <c r="K44" t="str">
        <f>LEFT(Table15[[#This Row],[Customer_Name]],3)</f>
        <v>Joe</v>
      </c>
      <c r="L44" t="str">
        <f>RIGHT(Table15[[#This Row],[Customer_Name]],3)</f>
        <v>wan</v>
      </c>
      <c r="M44" t="str">
        <f>MID(Table15[[#This Row],[Customer_Name]],4,3)</f>
        <v>l C</v>
      </c>
      <c r="N44">
        <f>LEN(Table15[[#This Row],[Customer_Name]])</f>
        <v>10</v>
      </c>
      <c r="O44" t="str">
        <f t="shared" si="0"/>
        <v>Joel Cwan</v>
      </c>
      <c r="Q44" t="str">
        <f>UPPER(Table15[[#This Row],[Customer_Name]])</f>
        <v>JOEL COWAN</v>
      </c>
      <c r="R44" t="str">
        <f>LOWER(Table15[[#This Row],[Customer_Name]])</f>
        <v>joel cowan</v>
      </c>
      <c r="S44" t="str">
        <f>TRIM(Table15[[#This Row],[Payment_Method]])</f>
        <v>Cash</v>
      </c>
      <c r="T44" t="str">
        <f>SUBSTITUTE(Table15[[#This Row],[Payment_Method]],"C","A")</f>
        <v>Aash</v>
      </c>
      <c r="U44" t="str">
        <f>REPLACE(Table15[[#This Row],[Order_ID]],2,3,"A")</f>
        <v>OA043</v>
      </c>
      <c r="V44">
        <f>FIND("a",Table15[[#This Row],[Product]])</f>
        <v>6</v>
      </c>
    </row>
    <row r="45" spans="1:22" x14ac:dyDescent="0.3">
      <c r="A45" t="s">
        <v>157</v>
      </c>
      <c r="B45" t="s">
        <v>158</v>
      </c>
      <c r="C45" t="s">
        <v>159</v>
      </c>
      <c r="D45" t="s">
        <v>44</v>
      </c>
      <c r="E45" t="s">
        <v>26</v>
      </c>
      <c r="F45">
        <v>6</v>
      </c>
      <c r="G45">
        <v>1816</v>
      </c>
      <c r="H45">
        <v>10896</v>
      </c>
      <c r="I45" t="s">
        <v>15</v>
      </c>
      <c r="J45" t="s">
        <v>22</v>
      </c>
      <c r="K45" t="str">
        <f>LEFT(Table15[[#This Row],[Customer_Name]],3)</f>
        <v>Bri</v>
      </c>
      <c r="L45" t="str">
        <f>RIGHT(Table15[[#This Row],[Customer_Name]],3)</f>
        <v>ker</v>
      </c>
      <c r="M45" t="str">
        <f>MID(Table15[[#This Row],[Customer_Name]],4,3)</f>
        <v xml:space="preserve">an </v>
      </c>
      <c r="N45">
        <f>LEN(Table15[[#This Row],[Customer_Name]])</f>
        <v>12</v>
      </c>
      <c r="O45" t="str">
        <f t="shared" si="0"/>
        <v>Brian ker</v>
      </c>
      <c r="Q45" t="str">
        <f>UPPER(Table15[[#This Row],[Customer_Name]])</f>
        <v>BRIAN WALKER</v>
      </c>
      <c r="R45" t="str">
        <f>LOWER(Table15[[#This Row],[Customer_Name]])</f>
        <v>brian walker</v>
      </c>
      <c r="S45" t="str">
        <f>TRIM(Table15[[#This Row],[Payment_Method]])</f>
        <v>UPI</v>
      </c>
      <c r="T45" t="str">
        <f>SUBSTITUTE(Table15[[#This Row],[Payment_Method]],"C","A")</f>
        <v>UPI</v>
      </c>
      <c r="U45" t="str">
        <f>REPLACE(Table15[[#This Row],[Order_ID]],2,3,"A")</f>
        <v>OA044</v>
      </c>
      <c r="V45">
        <f>FIND("a",Table15[[#This Row],[Product]])</f>
        <v>3</v>
      </c>
    </row>
    <row r="46" spans="1:22" x14ac:dyDescent="0.3">
      <c r="A46" t="s">
        <v>160</v>
      </c>
      <c r="B46" t="s">
        <v>161</v>
      </c>
      <c r="C46" t="s">
        <v>162</v>
      </c>
      <c r="D46" t="s">
        <v>20</v>
      </c>
      <c r="E46" t="s">
        <v>14</v>
      </c>
      <c r="F46">
        <v>5</v>
      </c>
      <c r="G46">
        <v>1252</v>
      </c>
      <c r="H46">
        <v>6260</v>
      </c>
      <c r="I46" t="s">
        <v>67</v>
      </c>
      <c r="J46" t="s">
        <v>16</v>
      </c>
      <c r="K46" t="str">
        <f>LEFT(Table15[[#This Row],[Customer_Name]],3)</f>
        <v>Mar</v>
      </c>
      <c r="L46" t="str">
        <f>RIGHT(Table15[[#This Row],[Customer_Name]],3)</f>
        <v>tos</v>
      </c>
      <c r="M46" t="str">
        <f>MID(Table15[[#This Row],[Customer_Name]],4,3)</f>
        <v xml:space="preserve">ia </v>
      </c>
      <c r="N46">
        <f>LEN(Table15[[#This Row],[Customer_Name]])</f>
        <v>12</v>
      </c>
      <c r="O46" t="str">
        <f t="shared" si="0"/>
        <v>Maria tos</v>
      </c>
      <c r="Q46" t="str">
        <f>UPPER(Table15[[#This Row],[Customer_Name]])</f>
        <v>MARIA SANTOS</v>
      </c>
      <c r="R46" t="str">
        <f>LOWER(Table15[[#This Row],[Customer_Name]])</f>
        <v>maria santos</v>
      </c>
      <c r="S46" t="str">
        <f>TRIM(Table15[[#This Row],[Payment_Method]])</f>
        <v>Card</v>
      </c>
      <c r="T46" t="str">
        <f>SUBSTITUTE(Table15[[#This Row],[Payment_Method]],"C","A")</f>
        <v>Aard</v>
      </c>
      <c r="U46" t="str">
        <f>REPLACE(Table15[[#This Row],[Order_ID]],2,3,"A")</f>
        <v>OA045</v>
      </c>
      <c r="V46">
        <f>FIND("a",Table15[[#This Row],[Product]])</f>
        <v>2</v>
      </c>
    </row>
    <row r="47" spans="1:22" x14ac:dyDescent="0.3">
      <c r="A47" t="s">
        <v>163</v>
      </c>
      <c r="B47" t="s">
        <v>164</v>
      </c>
      <c r="C47" t="s">
        <v>165</v>
      </c>
      <c r="D47" t="s">
        <v>20</v>
      </c>
      <c r="E47" t="s">
        <v>86</v>
      </c>
      <c r="F47">
        <v>2</v>
      </c>
      <c r="G47">
        <v>1846</v>
      </c>
      <c r="H47">
        <v>3692</v>
      </c>
      <c r="I47" t="s">
        <v>35</v>
      </c>
      <c r="J47" t="s">
        <v>40</v>
      </c>
      <c r="K47" t="str">
        <f>LEFT(Table15[[#This Row],[Customer_Name]],3)</f>
        <v>Apr</v>
      </c>
      <c r="L47" t="str">
        <f>RIGHT(Table15[[#This Row],[Customer_Name]],3)</f>
        <v>own</v>
      </c>
      <c r="M47" t="str">
        <f>MID(Table15[[#This Row],[Customer_Name]],4,3)</f>
        <v xml:space="preserve">il </v>
      </c>
      <c r="N47">
        <f>LEN(Table15[[#This Row],[Customer_Name]])</f>
        <v>11</v>
      </c>
      <c r="O47" t="str">
        <f t="shared" si="0"/>
        <v>April own</v>
      </c>
      <c r="Q47" t="str">
        <f>UPPER(Table15[[#This Row],[Customer_Name]])</f>
        <v>APRIL BROWN</v>
      </c>
      <c r="R47" t="str">
        <f>LOWER(Table15[[#This Row],[Customer_Name]])</f>
        <v>april brown</v>
      </c>
      <c r="S47" t="str">
        <f>TRIM(Table15[[#This Row],[Payment_Method]])</f>
        <v>Net Banking</v>
      </c>
      <c r="T47" t="str">
        <f>SUBSTITUTE(Table15[[#This Row],[Payment_Method]],"C","A")</f>
        <v>Net Banking</v>
      </c>
      <c r="U47" t="str">
        <f>REPLACE(Table15[[#This Row],[Order_ID]],2,3,"A")</f>
        <v>OA046</v>
      </c>
      <c r="V47" t="e">
        <f>FIND("a",Table15[[#This Row],[Product]])</f>
        <v>#VALUE!</v>
      </c>
    </row>
    <row r="48" spans="1:22" x14ac:dyDescent="0.3">
      <c r="A48" t="s">
        <v>166</v>
      </c>
      <c r="B48" t="s">
        <v>167</v>
      </c>
      <c r="C48" t="s">
        <v>168</v>
      </c>
      <c r="D48" t="s">
        <v>49</v>
      </c>
      <c r="E48" t="s">
        <v>86</v>
      </c>
      <c r="F48">
        <v>1</v>
      </c>
      <c r="G48">
        <v>1316</v>
      </c>
      <c r="H48">
        <v>1316</v>
      </c>
      <c r="I48" t="s">
        <v>21</v>
      </c>
      <c r="J48" t="s">
        <v>16</v>
      </c>
      <c r="K48" t="str">
        <f>LEFT(Table15[[#This Row],[Customer_Name]],3)</f>
        <v>Amy</v>
      </c>
      <c r="L48" t="str">
        <f>RIGHT(Table15[[#This Row],[Customer_Name]],3)</f>
        <v>ter</v>
      </c>
      <c r="M48" t="str">
        <f>MID(Table15[[#This Row],[Customer_Name]],4,3)</f>
        <v xml:space="preserve"> Hu</v>
      </c>
      <c r="N48">
        <f>LEN(Table15[[#This Row],[Customer_Name]])</f>
        <v>10</v>
      </c>
      <c r="O48" t="str">
        <f t="shared" si="0"/>
        <v>Amy Huter</v>
      </c>
      <c r="Q48" t="str">
        <f>UPPER(Table15[[#This Row],[Customer_Name]])</f>
        <v>AMY HUNTER</v>
      </c>
      <c r="R48" t="str">
        <f>LOWER(Table15[[#This Row],[Customer_Name]])</f>
        <v>amy hunter</v>
      </c>
      <c r="S48" t="str">
        <f>TRIM(Table15[[#This Row],[Payment_Method]])</f>
        <v>Card</v>
      </c>
      <c r="T48" t="str">
        <f>SUBSTITUTE(Table15[[#This Row],[Payment_Method]],"C","A")</f>
        <v>Aard</v>
      </c>
      <c r="U48" t="str">
        <f>REPLACE(Table15[[#This Row],[Order_ID]],2,3,"A")</f>
        <v>OA047</v>
      </c>
      <c r="V48" t="e">
        <f>FIND("a",Table15[[#This Row],[Product]])</f>
        <v>#VALUE!</v>
      </c>
    </row>
    <row r="49" spans="1:22" x14ac:dyDescent="0.3">
      <c r="A49" t="s">
        <v>169</v>
      </c>
      <c r="B49" t="s">
        <v>88</v>
      </c>
      <c r="C49" t="s">
        <v>170</v>
      </c>
      <c r="D49" t="s">
        <v>13</v>
      </c>
      <c r="E49" t="s">
        <v>31</v>
      </c>
      <c r="F49">
        <v>7</v>
      </c>
      <c r="G49">
        <v>1539</v>
      </c>
      <c r="H49">
        <v>10773</v>
      </c>
      <c r="I49" t="s">
        <v>15</v>
      </c>
      <c r="J49" t="s">
        <v>40</v>
      </c>
      <c r="K49" t="str">
        <f>LEFT(Table15[[#This Row],[Customer_Name]],3)</f>
        <v>Ash</v>
      </c>
      <c r="L49" t="str">
        <f>RIGHT(Table15[[#This Row],[Customer_Name]],3)</f>
        <v>ore</v>
      </c>
      <c r="M49" t="str">
        <f>MID(Table15[[#This Row],[Customer_Name]],4,3)</f>
        <v>lee</v>
      </c>
      <c r="N49">
        <f>LEN(Table15[[#This Row],[Customer_Name]])</f>
        <v>12</v>
      </c>
      <c r="O49" t="str">
        <f t="shared" si="0"/>
        <v>Ashleeore</v>
      </c>
      <c r="Q49" t="str">
        <f>UPPER(Table15[[#This Row],[Customer_Name]])</f>
        <v>ASHLEE MOORE</v>
      </c>
      <c r="R49" t="str">
        <f>LOWER(Table15[[#This Row],[Customer_Name]])</f>
        <v>ashlee moore</v>
      </c>
      <c r="S49" t="str">
        <f>TRIM(Table15[[#This Row],[Payment_Method]])</f>
        <v>Net Banking</v>
      </c>
      <c r="T49" t="str">
        <f>SUBSTITUTE(Table15[[#This Row],[Payment_Method]],"C","A")</f>
        <v>Net Banking</v>
      </c>
      <c r="U49" t="str">
        <f>REPLACE(Table15[[#This Row],[Order_ID]],2,3,"A")</f>
        <v>OA048</v>
      </c>
      <c r="V49">
        <f>FIND("a",Table15[[#This Row],[Product]])</f>
        <v>6</v>
      </c>
    </row>
    <row r="50" spans="1:22" x14ac:dyDescent="0.3">
      <c r="A50" t="s">
        <v>171</v>
      </c>
      <c r="B50" t="s">
        <v>172</v>
      </c>
      <c r="C50" t="s">
        <v>173</v>
      </c>
      <c r="D50" t="s">
        <v>44</v>
      </c>
      <c r="E50" t="s">
        <v>14</v>
      </c>
      <c r="F50">
        <v>1</v>
      </c>
      <c r="G50">
        <v>184</v>
      </c>
      <c r="H50">
        <v>184</v>
      </c>
      <c r="I50" t="s">
        <v>35</v>
      </c>
      <c r="J50" t="s">
        <v>16</v>
      </c>
      <c r="K50" t="str">
        <f>LEFT(Table15[[#This Row],[Customer_Name]],3)</f>
        <v>Eli</v>
      </c>
      <c r="L50" t="str">
        <f>RIGHT(Table15[[#This Row],[Customer_Name]],3)</f>
        <v>ith</v>
      </c>
      <c r="M50" t="str">
        <f>MID(Table15[[#This Row],[Customer_Name]],4,3)</f>
        <v>zab</v>
      </c>
      <c r="N50">
        <f>LEN(Table15[[#This Row],[Customer_Name]])</f>
        <v>15</v>
      </c>
      <c r="O50" t="str">
        <f t="shared" si="0"/>
        <v>Elizabith</v>
      </c>
      <c r="Q50" t="str">
        <f>UPPER(Table15[[#This Row],[Customer_Name]])</f>
        <v>ELIZABETH SMITH</v>
      </c>
      <c r="R50" t="str">
        <f>LOWER(Table15[[#This Row],[Customer_Name]])</f>
        <v>elizabeth smith</v>
      </c>
      <c r="S50" t="str">
        <f>TRIM(Table15[[#This Row],[Payment_Method]])</f>
        <v>Card</v>
      </c>
      <c r="T50" t="str">
        <f>SUBSTITUTE(Table15[[#This Row],[Payment_Method]],"C","A")</f>
        <v>Aard</v>
      </c>
      <c r="U50" t="str">
        <f>REPLACE(Table15[[#This Row],[Order_ID]],2,3,"A")</f>
        <v>OA049</v>
      </c>
      <c r="V50">
        <f>FIND("a",Table15[[#This Row],[Product]])</f>
        <v>2</v>
      </c>
    </row>
    <row r="51" spans="1:22" x14ac:dyDescent="0.3">
      <c r="A51" t="s">
        <v>174</v>
      </c>
      <c r="B51" t="s">
        <v>175</v>
      </c>
      <c r="C51" t="s">
        <v>176</v>
      </c>
      <c r="D51" t="s">
        <v>20</v>
      </c>
      <c r="E51" t="s">
        <v>45</v>
      </c>
      <c r="F51">
        <v>6</v>
      </c>
      <c r="G51">
        <v>1468</v>
      </c>
      <c r="H51">
        <v>8808</v>
      </c>
      <c r="I51" t="s">
        <v>35</v>
      </c>
      <c r="J51" t="s">
        <v>16</v>
      </c>
      <c r="K51" t="str">
        <f>LEFT(Table15[[#This Row],[Customer_Name]],3)</f>
        <v>Sha</v>
      </c>
      <c r="L51" t="str">
        <f>RIGHT(Table15[[#This Row],[Customer_Name]],3)</f>
        <v>ler</v>
      </c>
      <c r="M51" t="str">
        <f>MID(Table15[[#This Row],[Customer_Name]],4,3)</f>
        <v>nno</v>
      </c>
      <c r="N51">
        <f>LEN(Table15[[#This Row],[Customer_Name]])</f>
        <v>14</v>
      </c>
      <c r="O51" t="str">
        <f t="shared" si="0"/>
        <v>Shannoler</v>
      </c>
      <c r="Q51" t="str">
        <f>UPPER(Table15[[#This Row],[Customer_Name]])</f>
        <v>SHANNON MILLER</v>
      </c>
      <c r="R51" t="str">
        <f>LOWER(Table15[[#This Row],[Customer_Name]])</f>
        <v>shannon miller</v>
      </c>
      <c r="S51" t="str">
        <f>TRIM(Table15[[#This Row],[Payment_Method]])</f>
        <v>Card</v>
      </c>
      <c r="T51" t="str">
        <f>SUBSTITUTE(Table15[[#This Row],[Payment_Method]],"C","A")</f>
        <v>Aard</v>
      </c>
      <c r="U51" t="str">
        <f>REPLACE(Table15[[#This Row],[Order_ID]],2,3,"A")</f>
        <v>OA050</v>
      </c>
      <c r="V51" t="e">
        <f>FIND("a",Table15[[#This Row],[Product]])</f>
        <v>#VALUE!</v>
      </c>
    </row>
    <row r="52" spans="1:22" x14ac:dyDescent="0.3">
      <c r="A52" t="s">
        <v>177</v>
      </c>
      <c r="B52" t="s">
        <v>178</v>
      </c>
      <c r="C52" t="s">
        <v>179</v>
      </c>
      <c r="D52" t="s">
        <v>13</v>
      </c>
      <c r="E52" t="s">
        <v>60</v>
      </c>
      <c r="F52">
        <v>6</v>
      </c>
      <c r="G52">
        <v>536</v>
      </c>
      <c r="H52">
        <v>3216</v>
      </c>
      <c r="I52" t="s">
        <v>39</v>
      </c>
      <c r="J52" t="s">
        <v>22</v>
      </c>
      <c r="K52" t="str">
        <f>LEFT(Table15[[#This Row],[Customer_Name]],3)</f>
        <v>Tar</v>
      </c>
      <c r="L52" t="str">
        <f>RIGHT(Table15[[#This Row],[Customer_Name]],3)</f>
        <v>vis</v>
      </c>
      <c r="M52" t="str">
        <f>MID(Table15[[#This Row],[Customer_Name]],4,3)</f>
        <v>a D</v>
      </c>
      <c r="N52">
        <f>LEN(Table15[[#This Row],[Customer_Name]])</f>
        <v>10</v>
      </c>
      <c r="O52" t="str">
        <f t="shared" si="0"/>
        <v>Tara Dvis</v>
      </c>
      <c r="Q52" t="str">
        <f>UPPER(Table15[[#This Row],[Customer_Name]])</f>
        <v>TARA DAVIS</v>
      </c>
      <c r="R52" t="str">
        <f>LOWER(Table15[[#This Row],[Customer_Name]])</f>
        <v>tara davis</v>
      </c>
      <c r="S52" t="str">
        <f>TRIM(Table15[[#This Row],[Payment_Method]])</f>
        <v>UPI</v>
      </c>
      <c r="T52" t="str">
        <f>SUBSTITUTE(Table15[[#This Row],[Payment_Method]],"C","A")</f>
        <v>UPI</v>
      </c>
      <c r="U52" t="str">
        <f>REPLACE(Table15[[#This Row],[Order_ID]],2,3,"A")</f>
        <v>OA051</v>
      </c>
      <c r="V52">
        <f>FIND("a",Table15[[#This Row],[Product]])</f>
        <v>2</v>
      </c>
    </row>
    <row r="53" spans="1:22" x14ac:dyDescent="0.3">
      <c r="A53" t="s">
        <v>180</v>
      </c>
      <c r="B53" t="s">
        <v>181</v>
      </c>
      <c r="C53" t="s">
        <v>182</v>
      </c>
      <c r="D53" t="s">
        <v>49</v>
      </c>
      <c r="E53" t="s">
        <v>26</v>
      </c>
      <c r="F53">
        <v>2</v>
      </c>
      <c r="G53">
        <v>1214</v>
      </c>
      <c r="H53">
        <v>2428</v>
      </c>
      <c r="I53" t="s">
        <v>35</v>
      </c>
      <c r="J53" t="s">
        <v>22</v>
      </c>
      <c r="K53" t="str">
        <f>LEFT(Table15[[#This Row],[Customer_Name]],3)</f>
        <v>Sam</v>
      </c>
      <c r="L53" t="str">
        <f>RIGHT(Table15[[#This Row],[Customer_Name]],3)</f>
        <v>man</v>
      </c>
      <c r="M53" t="str">
        <f>MID(Table15[[#This Row],[Customer_Name]],4,3)</f>
        <v>ant</v>
      </c>
      <c r="N53">
        <f>LEN(Table15[[#This Row],[Customer_Name]])</f>
        <v>16</v>
      </c>
      <c r="O53" t="str">
        <f t="shared" si="0"/>
        <v>Samantman</v>
      </c>
      <c r="Q53" t="str">
        <f>UPPER(Table15[[#This Row],[Customer_Name]])</f>
        <v>SAMANTHA SHERMAN</v>
      </c>
      <c r="R53" t="str">
        <f>LOWER(Table15[[#This Row],[Customer_Name]])</f>
        <v>samantha sherman</v>
      </c>
      <c r="S53" t="str">
        <f>TRIM(Table15[[#This Row],[Payment_Method]])</f>
        <v>UPI</v>
      </c>
      <c r="T53" t="str">
        <f>SUBSTITUTE(Table15[[#This Row],[Payment_Method]],"C","A")</f>
        <v>UPI</v>
      </c>
      <c r="U53" t="str">
        <f>REPLACE(Table15[[#This Row],[Order_ID]],2,3,"A")</f>
        <v>OA052</v>
      </c>
      <c r="V53">
        <f>FIND("a",Table15[[#This Row],[Product]])</f>
        <v>3</v>
      </c>
    </row>
    <row r="54" spans="1:22" x14ac:dyDescent="0.3">
      <c r="A54" t="s">
        <v>183</v>
      </c>
      <c r="B54" t="s">
        <v>184</v>
      </c>
      <c r="C54" t="s">
        <v>185</v>
      </c>
      <c r="D54" t="s">
        <v>13</v>
      </c>
      <c r="E54" t="s">
        <v>60</v>
      </c>
      <c r="F54">
        <v>5</v>
      </c>
      <c r="G54">
        <v>572</v>
      </c>
      <c r="H54">
        <v>2860</v>
      </c>
      <c r="I54" t="s">
        <v>67</v>
      </c>
      <c r="J54" t="s">
        <v>16</v>
      </c>
      <c r="K54" t="str">
        <f>LEFT(Table15[[#This Row],[Customer_Name]],3)</f>
        <v>Ben</v>
      </c>
      <c r="L54" t="str">
        <f>RIGHT(Table15[[#This Row],[Customer_Name]],3)</f>
        <v>ips</v>
      </c>
      <c r="M54" t="str">
        <f>MID(Table15[[#This Row],[Customer_Name]],4,3)</f>
        <v>jam</v>
      </c>
      <c r="N54">
        <f>LEN(Table15[[#This Row],[Customer_Name]])</f>
        <v>17</v>
      </c>
      <c r="O54" t="str">
        <f t="shared" si="0"/>
        <v>Benjamips</v>
      </c>
      <c r="Q54" t="str">
        <f>UPPER(Table15[[#This Row],[Customer_Name]])</f>
        <v>BENJAMIN PHILLIPS</v>
      </c>
      <c r="R54" t="str">
        <f>LOWER(Table15[[#This Row],[Customer_Name]])</f>
        <v>benjamin phillips</v>
      </c>
      <c r="S54" t="str">
        <f>TRIM(Table15[[#This Row],[Payment_Method]])</f>
        <v>Card</v>
      </c>
      <c r="T54" t="str">
        <f>SUBSTITUTE(Table15[[#This Row],[Payment_Method]],"C","A")</f>
        <v>Aard</v>
      </c>
      <c r="U54" t="str">
        <f>REPLACE(Table15[[#This Row],[Order_ID]],2,3,"A")</f>
        <v>OA053</v>
      </c>
      <c r="V54">
        <f>FIND("a",Table15[[#This Row],[Product]])</f>
        <v>2</v>
      </c>
    </row>
    <row r="55" spans="1:22" x14ac:dyDescent="0.3">
      <c r="A55" t="s">
        <v>186</v>
      </c>
      <c r="B55" t="s">
        <v>187</v>
      </c>
      <c r="C55" t="s">
        <v>188</v>
      </c>
      <c r="D55" t="s">
        <v>13</v>
      </c>
      <c r="E55" t="s">
        <v>26</v>
      </c>
      <c r="F55">
        <v>5</v>
      </c>
      <c r="G55">
        <v>275</v>
      </c>
      <c r="H55">
        <v>1375</v>
      </c>
      <c r="I55" t="s">
        <v>53</v>
      </c>
      <c r="J55" t="s">
        <v>22</v>
      </c>
      <c r="K55" t="str">
        <f>LEFT(Table15[[#This Row],[Customer_Name]],3)</f>
        <v>Cam</v>
      </c>
      <c r="L55" t="str">
        <f>RIGHT(Table15[[#This Row],[Customer_Name]],3)</f>
        <v>llo</v>
      </c>
      <c r="M55" t="str">
        <f>MID(Table15[[#This Row],[Customer_Name]],4,3)</f>
        <v>ero</v>
      </c>
      <c r="N55">
        <f>LEN(Table15[[#This Row],[Customer_Name]])</f>
        <v>15</v>
      </c>
      <c r="O55" t="str">
        <f t="shared" si="0"/>
        <v>Camerollo</v>
      </c>
      <c r="Q55" t="str">
        <f>UPPER(Table15[[#This Row],[Customer_Name]])</f>
        <v>CAMERON MURILLO</v>
      </c>
      <c r="R55" t="str">
        <f>LOWER(Table15[[#This Row],[Customer_Name]])</f>
        <v>cameron murillo</v>
      </c>
      <c r="S55" t="str">
        <f>TRIM(Table15[[#This Row],[Payment_Method]])</f>
        <v>UPI</v>
      </c>
      <c r="T55" t="str">
        <f>SUBSTITUTE(Table15[[#This Row],[Payment_Method]],"C","A")</f>
        <v>UPI</v>
      </c>
      <c r="U55" t="str">
        <f>REPLACE(Table15[[#This Row],[Order_ID]],2,3,"A")</f>
        <v>OA054</v>
      </c>
      <c r="V55">
        <f>FIND("a",Table15[[#This Row],[Product]])</f>
        <v>3</v>
      </c>
    </row>
    <row r="56" spans="1:22" x14ac:dyDescent="0.3">
      <c r="A56" t="s">
        <v>189</v>
      </c>
      <c r="B56" t="s">
        <v>190</v>
      </c>
      <c r="C56" t="s">
        <v>191</v>
      </c>
      <c r="D56" t="s">
        <v>20</v>
      </c>
      <c r="E56" t="s">
        <v>86</v>
      </c>
      <c r="F56">
        <v>3</v>
      </c>
      <c r="G56">
        <v>1329</v>
      </c>
      <c r="H56">
        <v>3987</v>
      </c>
      <c r="I56" t="s">
        <v>35</v>
      </c>
      <c r="J56" t="s">
        <v>22</v>
      </c>
      <c r="K56" t="str">
        <f>LEFT(Table15[[#This Row],[Customer_Name]],3)</f>
        <v>Des</v>
      </c>
      <c r="L56" t="str">
        <f>RIGHT(Table15[[#This Row],[Customer_Name]],3)</f>
        <v>ner</v>
      </c>
      <c r="M56" t="str">
        <f>MID(Table15[[#This Row],[Customer_Name]],4,3)</f>
        <v>tin</v>
      </c>
      <c r="N56">
        <f>LEN(Table15[[#This Row],[Customer_Name]])</f>
        <v>14</v>
      </c>
      <c r="O56" t="str">
        <f t="shared" si="0"/>
        <v>Destinner</v>
      </c>
      <c r="Q56" t="str">
        <f>UPPER(Table15[[#This Row],[Customer_Name]])</f>
        <v>DESTINY WARNER</v>
      </c>
      <c r="R56" t="str">
        <f>LOWER(Table15[[#This Row],[Customer_Name]])</f>
        <v>destiny warner</v>
      </c>
      <c r="S56" t="str">
        <f>TRIM(Table15[[#This Row],[Payment_Method]])</f>
        <v>UPI</v>
      </c>
      <c r="T56" t="str">
        <f>SUBSTITUTE(Table15[[#This Row],[Payment_Method]],"C","A")</f>
        <v>UPI</v>
      </c>
      <c r="U56" t="str">
        <f>REPLACE(Table15[[#This Row],[Order_ID]],2,3,"A")</f>
        <v>OA055</v>
      </c>
      <c r="V56" t="e">
        <f>FIND("a",Table15[[#This Row],[Product]])</f>
        <v>#VALUE!</v>
      </c>
    </row>
    <row r="57" spans="1:22" x14ac:dyDescent="0.3">
      <c r="A57" t="s">
        <v>192</v>
      </c>
      <c r="B57" t="s">
        <v>29</v>
      </c>
      <c r="C57" t="s">
        <v>193</v>
      </c>
      <c r="D57" t="s">
        <v>49</v>
      </c>
      <c r="E57" t="s">
        <v>26</v>
      </c>
      <c r="F57">
        <v>4</v>
      </c>
      <c r="G57">
        <v>1586</v>
      </c>
      <c r="H57">
        <v>6344</v>
      </c>
      <c r="I57" t="s">
        <v>35</v>
      </c>
      <c r="J57" t="s">
        <v>27</v>
      </c>
      <c r="K57" t="str">
        <f>LEFT(Table15[[#This Row],[Customer_Name]],3)</f>
        <v>Sco</v>
      </c>
      <c r="L57" t="str">
        <f>RIGHT(Table15[[#This Row],[Customer_Name]],3)</f>
        <v>vis</v>
      </c>
      <c r="M57" t="str">
        <f>MID(Table15[[#This Row],[Customer_Name]],4,3)</f>
        <v xml:space="preserve">tt </v>
      </c>
      <c r="N57">
        <f>LEN(Table15[[#This Row],[Customer_Name]])</f>
        <v>11</v>
      </c>
      <c r="O57" t="str">
        <f t="shared" si="0"/>
        <v>Scott vis</v>
      </c>
      <c r="Q57" t="str">
        <f>UPPER(Table15[[#This Row],[Customer_Name]])</f>
        <v>SCOTT DAVIS</v>
      </c>
      <c r="R57" t="str">
        <f>LOWER(Table15[[#This Row],[Customer_Name]])</f>
        <v>scott davis</v>
      </c>
      <c r="S57" t="str">
        <f>TRIM(Table15[[#This Row],[Payment_Method]])</f>
        <v>Cash</v>
      </c>
      <c r="T57" t="str">
        <f>SUBSTITUTE(Table15[[#This Row],[Payment_Method]],"C","A")</f>
        <v>Aash</v>
      </c>
      <c r="U57" t="str">
        <f>REPLACE(Table15[[#This Row],[Order_ID]],2,3,"A")</f>
        <v>OA056</v>
      </c>
      <c r="V57">
        <f>FIND("a",Table15[[#This Row],[Product]])</f>
        <v>3</v>
      </c>
    </row>
    <row r="58" spans="1:22" x14ac:dyDescent="0.3">
      <c r="A58" t="s">
        <v>194</v>
      </c>
      <c r="B58" t="s">
        <v>195</v>
      </c>
      <c r="C58" t="s">
        <v>196</v>
      </c>
      <c r="D58" t="s">
        <v>49</v>
      </c>
      <c r="E58" t="s">
        <v>14</v>
      </c>
      <c r="F58">
        <v>6</v>
      </c>
      <c r="G58">
        <v>467</v>
      </c>
      <c r="H58">
        <v>2802</v>
      </c>
      <c r="I58" t="s">
        <v>35</v>
      </c>
      <c r="J58" t="s">
        <v>16</v>
      </c>
      <c r="K58" t="str">
        <f>LEFT(Table15[[#This Row],[Customer_Name]],3)</f>
        <v>Joh</v>
      </c>
      <c r="L58" t="str">
        <f>RIGHT(Table15[[#This Row],[Customer_Name]],3)</f>
        <v>ers</v>
      </c>
      <c r="M58" t="str">
        <f>MID(Table15[[#This Row],[Customer_Name]],4,3)</f>
        <v>n R</v>
      </c>
      <c r="N58">
        <f>LEN(Table15[[#This Row],[Customer_Name]])</f>
        <v>11</v>
      </c>
      <c r="O58" t="str">
        <f t="shared" si="0"/>
        <v>John Rers</v>
      </c>
      <c r="Q58" t="str">
        <f>UPPER(Table15[[#This Row],[Customer_Name]])</f>
        <v>JOHN ROGERS</v>
      </c>
      <c r="R58" t="str">
        <f>LOWER(Table15[[#This Row],[Customer_Name]])</f>
        <v>john rogers</v>
      </c>
      <c r="S58" t="str">
        <f>TRIM(Table15[[#This Row],[Payment_Method]])</f>
        <v>Card</v>
      </c>
      <c r="T58" t="str">
        <f>SUBSTITUTE(Table15[[#This Row],[Payment_Method]],"C","A")</f>
        <v>Aard</v>
      </c>
      <c r="U58" t="str">
        <f>REPLACE(Table15[[#This Row],[Order_ID]],2,3,"A")</f>
        <v>OA057</v>
      </c>
      <c r="V58">
        <f>FIND("a",Table15[[#This Row],[Product]])</f>
        <v>2</v>
      </c>
    </row>
    <row r="59" spans="1:22" x14ac:dyDescent="0.3">
      <c r="A59" t="s">
        <v>197</v>
      </c>
      <c r="B59" t="s">
        <v>198</v>
      </c>
      <c r="C59" t="s">
        <v>199</v>
      </c>
      <c r="D59" t="s">
        <v>49</v>
      </c>
      <c r="E59" t="s">
        <v>86</v>
      </c>
      <c r="F59">
        <v>5</v>
      </c>
      <c r="G59">
        <v>1113</v>
      </c>
      <c r="H59">
        <v>5565</v>
      </c>
      <c r="I59" t="s">
        <v>15</v>
      </c>
      <c r="J59" t="s">
        <v>40</v>
      </c>
      <c r="K59" t="str">
        <f>LEFT(Table15[[#This Row],[Customer_Name]],3)</f>
        <v>Cry</v>
      </c>
      <c r="L59" t="str">
        <f>RIGHT(Table15[[#This Row],[Customer_Name]],3)</f>
        <v>unt</v>
      </c>
      <c r="M59" t="str">
        <f>MID(Table15[[#This Row],[Customer_Name]],4,3)</f>
        <v>sta</v>
      </c>
      <c r="N59">
        <f>LEN(Table15[[#This Row],[Customer_Name]])</f>
        <v>12</v>
      </c>
      <c r="O59" t="str">
        <f t="shared" si="0"/>
        <v>Crystaunt</v>
      </c>
      <c r="Q59" t="str">
        <f>UPPER(Table15[[#This Row],[Customer_Name]])</f>
        <v>CRYSTAL HUNT</v>
      </c>
      <c r="R59" t="str">
        <f>LOWER(Table15[[#This Row],[Customer_Name]])</f>
        <v>crystal hunt</v>
      </c>
      <c r="S59" t="str">
        <f>TRIM(Table15[[#This Row],[Payment_Method]])</f>
        <v>Net Banking</v>
      </c>
      <c r="T59" t="str">
        <f>SUBSTITUTE(Table15[[#This Row],[Payment_Method]],"C","A")</f>
        <v>Net Banking</v>
      </c>
      <c r="U59" t="str">
        <f>REPLACE(Table15[[#This Row],[Order_ID]],2,3,"A")</f>
        <v>OA058</v>
      </c>
      <c r="V59" t="e">
        <f>FIND("a",Table15[[#This Row],[Product]])</f>
        <v>#VALUE!</v>
      </c>
    </row>
    <row r="60" spans="1:22" x14ac:dyDescent="0.3">
      <c r="A60" t="s">
        <v>200</v>
      </c>
      <c r="B60" t="s">
        <v>201</v>
      </c>
      <c r="C60" t="s">
        <v>202</v>
      </c>
      <c r="D60" t="s">
        <v>49</v>
      </c>
      <c r="E60" t="s">
        <v>14</v>
      </c>
      <c r="F60">
        <v>2</v>
      </c>
      <c r="G60">
        <v>1540</v>
      </c>
      <c r="H60">
        <v>3080</v>
      </c>
      <c r="I60" t="s">
        <v>21</v>
      </c>
      <c r="J60" t="s">
        <v>27</v>
      </c>
      <c r="K60" t="str">
        <f>LEFT(Table15[[#This Row],[Customer_Name]],3)</f>
        <v>Jon</v>
      </c>
      <c r="L60" t="str">
        <f>RIGHT(Table15[[#This Row],[Customer_Name]],3)</f>
        <v>ala</v>
      </c>
      <c r="M60" t="str">
        <f>MID(Table15[[#This Row],[Customer_Name]],4,3)</f>
        <v>ath</v>
      </c>
      <c r="N60">
        <f>LEN(Table15[[#This Row],[Customer_Name]])</f>
        <v>14</v>
      </c>
      <c r="O60" t="str">
        <f t="shared" si="0"/>
        <v>Jonathala</v>
      </c>
      <c r="Q60" t="str">
        <f>UPPER(Table15[[#This Row],[Customer_Name]])</f>
        <v>JONATHAN AYALA</v>
      </c>
      <c r="R60" t="str">
        <f>LOWER(Table15[[#This Row],[Customer_Name]])</f>
        <v>jonathan ayala</v>
      </c>
      <c r="S60" t="str">
        <f>TRIM(Table15[[#This Row],[Payment_Method]])</f>
        <v>Cash</v>
      </c>
      <c r="T60" t="str">
        <f>SUBSTITUTE(Table15[[#This Row],[Payment_Method]],"C","A")</f>
        <v>Aash</v>
      </c>
      <c r="U60" t="str">
        <f>REPLACE(Table15[[#This Row],[Order_ID]],2,3,"A")</f>
        <v>OA059</v>
      </c>
      <c r="V60">
        <f>FIND("a",Table15[[#This Row],[Product]])</f>
        <v>2</v>
      </c>
    </row>
    <row r="61" spans="1:22" x14ac:dyDescent="0.3">
      <c r="A61" t="s">
        <v>203</v>
      </c>
      <c r="B61" t="s">
        <v>204</v>
      </c>
      <c r="C61" t="s">
        <v>205</v>
      </c>
      <c r="D61" t="s">
        <v>20</v>
      </c>
      <c r="E61" t="s">
        <v>26</v>
      </c>
      <c r="F61">
        <v>7</v>
      </c>
      <c r="G61">
        <v>1454</v>
      </c>
      <c r="H61">
        <v>10178</v>
      </c>
      <c r="I61" t="s">
        <v>39</v>
      </c>
      <c r="J61" t="s">
        <v>16</v>
      </c>
      <c r="K61" t="str">
        <f>LEFT(Table15[[#This Row],[Customer_Name]],3)</f>
        <v>Mat</v>
      </c>
      <c r="L61" t="str">
        <f>RIGHT(Table15[[#This Row],[Customer_Name]],3)</f>
        <v>rry</v>
      </c>
      <c r="M61" t="str">
        <f>MID(Table15[[#This Row],[Customer_Name]],4,3)</f>
        <v>hew</v>
      </c>
      <c r="N61">
        <f>LEN(Table15[[#This Row],[Customer_Name]])</f>
        <v>12</v>
      </c>
      <c r="O61" t="str">
        <f t="shared" si="0"/>
        <v>Mathewrry</v>
      </c>
      <c r="Q61" t="str">
        <f>UPPER(Table15[[#This Row],[Customer_Name]])</f>
        <v>MATHEW PERRY</v>
      </c>
      <c r="R61" t="str">
        <f>LOWER(Table15[[#This Row],[Customer_Name]])</f>
        <v>mathew perry</v>
      </c>
      <c r="S61" t="str">
        <f>TRIM(Table15[[#This Row],[Payment_Method]])</f>
        <v>Card</v>
      </c>
      <c r="T61" t="str">
        <f>SUBSTITUTE(Table15[[#This Row],[Payment_Method]],"C","A")</f>
        <v>Aard</v>
      </c>
      <c r="U61" t="str">
        <f>REPLACE(Table15[[#This Row],[Order_ID]],2,3,"A")</f>
        <v>OA060</v>
      </c>
      <c r="V61">
        <f>FIND("a",Table15[[#This Row],[Product]])</f>
        <v>3</v>
      </c>
    </row>
    <row r="62" spans="1:22" x14ac:dyDescent="0.3">
      <c r="A62" t="s">
        <v>206</v>
      </c>
      <c r="B62" t="s">
        <v>207</v>
      </c>
      <c r="C62" t="s">
        <v>208</v>
      </c>
      <c r="D62" t="s">
        <v>44</v>
      </c>
      <c r="E62" t="s">
        <v>45</v>
      </c>
      <c r="F62">
        <v>4</v>
      </c>
      <c r="G62">
        <v>1433</v>
      </c>
      <c r="H62">
        <v>5732</v>
      </c>
      <c r="I62" t="s">
        <v>15</v>
      </c>
      <c r="J62" t="s">
        <v>40</v>
      </c>
      <c r="K62" t="str">
        <f>LEFT(Table15[[#This Row],[Customer_Name]],3)</f>
        <v>Kat</v>
      </c>
      <c r="L62" t="str">
        <f>RIGHT(Table15[[#This Row],[Customer_Name]],3)</f>
        <v>son</v>
      </c>
      <c r="M62" t="str">
        <f>MID(Table15[[#This Row],[Customer_Name]],4,3)</f>
        <v>ely</v>
      </c>
      <c r="N62">
        <f>LEN(Table15[[#This Row],[Customer_Name]])</f>
        <v>17</v>
      </c>
      <c r="O62" t="str">
        <f t="shared" si="0"/>
        <v>Katelyson</v>
      </c>
      <c r="Q62" t="str">
        <f>UPPER(Table15[[#This Row],[Customer_Name]])</f>
        <v>KATELYN DICKERSON</v>
      </c>
      <c r="R62" t="str">
        <f>LOWER(Table15[[#This Row],[Customer_Name]])</f>
        <v>katelyn dickerson</v>
      </c>
      <c r="S62" t="str">
        <f>TRIM(Table15[[#This Row],[Payment_Method]])</f>
        <v>Net Banking</v>
      </c>
      <c r="T62" t="str">
        <f>SUBSTITUTE(Table15[[#This Row],[Payment_Method]],"C","A")</f>
        <v>Net Banking</v>
      </c>
      <c r="U62" t="str">
        <f>REPLACE(Table15[[#This Row],[Order_ID]],2,3,"A")</f>
        <v>OA061</v>
      </c>
      <c r="V62" t="e">
        <f>FIND("a",Table15[[#This Row],[Product]])</f>
        <v>#VALUE!</v>
      </c>
    </row>
    <row r="63" spans="1:22" x14ac:dyDescent="0.3">
      <c r="A63" t="s">
        <v>209</v>
      </c>
      <c r="B63" t="s">
        <v>210</v>
      </c>
      <c r="C63" t="s">
        <v>211</v>
      </c>
      <c r="D63" t="s">
        <v>49</v>
      </c>
      <c r="E63" t="s">
        <v>45</v>
      </c>
      <c r="F63">
        <v>9</v>
      </c>
      <c r="G63">
        <v>1993</v>
      </c>
      <c r="H63">
        <v>17937</v>
      </c>
      <c r="I63" t="s">
        <v>21</v>
      </c>
      <c r="J63" t="s">
        <v>40</v>
      </c>
      <c r="K63" t="str">
        <f>LEFT(Table15[[#This Row],[Customer_Name]],3)</f>
        <v>Bet</v>
      </c>
      <c r="L63" t="str">
        <f>RIGHT(Table15[[#This Row],[Customer_Name]],3)</f>
        <v>son</v>
      </c>
      <c r="M63" t="str">
        <f>MID(Table15[[#This Row],[Customer_Name]],4,3)</f>
        <v>han</v>
      </c>
      <c r="N63">
        <f>LEN(Table15[[#This Row],[Customer_Name]])</f>
        <v>17</v>
      </c>
      <c r="O63" t="str">
        <f t="shared" si="0"/>
        <v>Bethanson</v>
      </c>
      <c r="Q63" t="str">
        <f>UPPER(Table15[[#This Row],[Customer_Name]])</f>
        <v>BETHANY PATTERSON</v>
      </c>
      <c r="R63" t="str">
        <f>LOWER(Table15[[#This Row],[Customer_Name]])</f>
        <v>bethany patterson</v>
      </c>
      <c r="S63" t="str">
        <f>TRIM(Table15[[#This Row],[Payment_Method]])</f>
        <v>Net Banking</v>
      </c>
      <c r="T63" t="str">
        <f>SUBSTITUTE(Table15[[#This Row],[Payment_Method]],"C","A")</f>
        <v>Net Banking</v>
      </c>
      <c r="U63" t="str">
        <f>REPLACE(Table15[[#This Row],[Order_ID]],2,3,"A")</f>
        <v>OA062</v>
      </c>
      <c r="V63" t="e">
        <f>FIND("a",Table15[[#This Row],[Product]])</f>
        <v>#VALUE!</v>
      </c>
    </row>
    <row r="64" spans="1:22" x14ac:dyDescent="0.3">
      <c r="A64" t="s">
        <v>212</v>
      </c>
      <c r="B64" t="s">
        <v>213</v>
      </c>
      <c r="C64" t="s">
        <v>214</v>
      </c>
      <c r="D64" t="s">
        <v>44</v>
      </c>
      <c r="E64" t="s">
        <v>45</v>
      </c>
      <c r="F64">
        <v>7</v>
      </c>
      <c r="G64">
        <v>299</v>
      </c>
      <c r="H64">
        <v>2093</v>
      </c>
      <c r="I64" t="s">
        <v>53</v>
      </c>
      <c r="J64" t="s">
        <v>16</v>
      </c>
      <c r="K64" t="str">
        <f>LEFT(Table15[[#This Row],[Customer_Name]],3)</f>
        <v>Jen</v>
      </c>
      <c r="L64" t="str">
        <f>RIGHT(Table15[[#This Row],[Customer_Name]],3)</f>
        <v>ane</v>
      </c>
      <c r="M64" t="str">
        <f>MID(Table15[[#This Row],[Customer_Name]],4,3)</f>
        <v>nif</v>
      </c>
      <c r="N64">
        <f>LEN(Table15[[#This Row],[Customer_Name]])</f>
        <v>13</v>
      </c>
      <c r="O64" t="str">
        <f t="shared" si="0"/>
        <v>Jennifane</v>
      </c>
      <c r="Q64" t="str">
        <f>UPPER(Table15[[#This Row],[Customer_Name]])</f>
        <v>JENNIFER KANE</v>
      </c>
      <c r="R64" t="str">
        <f>LOWER(Table15[[#This Row],[Customer_Name]])</f>
        <v>jennifer kane</v>
      </c>
      <c r="S64" t="str">
        <f>TRIM(Table15[[#This Row],[Payment_Method]])</f>
        <v>Card</v>
      </c>
      <c r="T64" t="str">
        <f>SUBSTITUTE(Table15[[#This Row],[Payment_Method]],"C","A")</f>
        <v>Aard</v>
      </c>
      <c r="U64" t="str">
        <f>REPLACE(Table15[[#This Row],[Order_ID]],2,3,"A")</f>
        <v>OA063</v>
      </c>
      <c r="V64" t="e">
        <f>FIND("a",Table15[[#This Row],[Product]])</f>
        <v>#VALUE!</v>
      </c>
    </row>
    <row r="65" spans="1:22" x14ac:dyDescent="0.3">
      <c r="A65" t="s">
        <v>215</v>
      </c>
      <c r="B65" t="s">
        <v>216</v>
      </c>
      <c r="C65" t="s">
        <v>217</v>
      </c>
      <c r="D65" t="s">
        <v>49</v>
      </c>
      <c r="E65" t="s">
        <v>26</v>
      </c>
      <c r="F65">
        <v>2</v>
      </c>
      <c r="G65">
        <v>1354</v>
      </c>
      <c r="H65">
        <v>2708</v>
      </c>
      <c r="I65" t="s">
        <v>39</v>
      </c>
      <c r="J65" t="s">
        <v>27</v>
      </c>
      <c r="K65" t="str">
        <f>LEFT(Table15[[#This Row],[Customer_Name]],3)</f>
        <v>Der</v>
      </c>
      <c r="L65" t="str">
        <f>RIGHT(Table15[[#This Row],[Customer_Name]],3)</f>
        <v>ter</v>
      </c>
      <c r="M65" t="str">
        <f>MID(Table15[[#This Row],[Customer_Name]],4,3)</f>
        <v xml:space="preserve">ek </v>
      </c>
      <c r="N65">
        <f>LEN(Table15[[#This Row],[Customer_Name]])</f>
        <v>12</v>
      </c>
      <c r="O65" t="str">
        <f t="shared" si="0"/>
        <v>Derek ter</v>
      </c>
      <c r="Q65" t="str">
        <f>UPPER(Table15[[#This Row],[Customer_Name]])</f>
        <v>DEREK CARTER</v>
      </c>
      <c r="R65" t="str">
        <f>LOWER(Table15[[#This Row],[Customer_Name]])</f>
        <v>derek carter</v>
      </c>
      <c r="S65" t="str">
        <f>TRIM(Table15[[#This Row],[Payment_Method]])</f>
        <v>Cash</v>
      </c>
      <c r="T65" t="str">
        <f>SUBSTITUTE(Table15[[#This Row],[Payment_Method]],"C","A")</f>
        <v>Aash</v>
      </c>
      <c r="U65" t="str">
        <f>REPLACE(Table15[[#This Row],[Order_ID]],2,3,"A")</f>
        <v>OA064</v>
      </c>
      <c r="V65">
        <f>FIND("a",Table15[[#This Row],[Product]])</f>
        <v>3</v>
      </c>
    </row>
    <row r="66" spans="1:22" x14ac:dyDescent="0.3">
      <c r="A66" t="s">
        <v>218</v>
      </c>
      <c r="B66" t="s">
        <v>219</v>
      </c>
      <c r="C66" t="s">
        <v>220</v>
      </c>
      <c r="D66" t="s">
        <v>20</v>
      </c>
      <c r="E66" t="s">
        <v>45</v>
      </c>
      <c r="F66">
        <v>5</v>
      </c>
      <c r="G66">
        <v>1228</v>
      </c>
      <c r="H66">
        <v>6140</v>
      </c>
      <c r="I66" t="s">
        <v>21</v>
      </c>
      <c r="J66" t="s">
        <v>16</v>
      </c>
      <c r="K66" t="str">
        <f>LEFT(Table15[[#This Row],[Customer_Name]],3)</f>
        <v>Kri</v>
      </c>
      <c r="L66" t="str">
        <f>RIGHT(Table15[[#This Row],[Customer_Name]],3)</f>
        <v>son</v>
      </c>
      <c r="M66" t="str">
        <f>MID(Table15[[#This Row],[Customer_Name]],4,3)</f>
        <v>sti</v>
      </c>
      <c r="N66">
        <f>LEN(Table15[[#This Row],[Customer_Name]])</f>
        <v>14</v>
      </c>
      <c r="O66" t="str">
        <f t="shared" si="0"/>
        <v>Kristison</v>
      </c>
      <c r="Q66" t="str">
        <f>UPPER(Table15[[#This Row],[Customer_Name]])</f>
        <v>KRISTIE WILSON</v>
      </c>
      <c r="R66" t="str">
        <f>LOWER(Table15[[#This Row],[Customer_Name]])</f>
        <v>kristie wilson</v>
      </c>
      <c r="S66" t="str">
        <f>TRIM(Table15[[#This Row],[Payment_Method]])</f>
        <v>Card</v>
      </c>
      <c r="T66" t="str">
        <f>SUBSTITUTE(Table15[[#This Row],[Payment_Method]],"C","A")</f>
        <v>Aard</v>
      </c>
      <c r="U66" t="str">
        <f>REPLACE(Table15[[#This Row],[Order_ID]],2,3,"A")</f>
        <v>OA065</v>
      </c>
      <c r="V66" t="e">
        <f>FIND("a",Table15[[#This Row],[Product]])</f>
        <v>#VALUE!</v>
      </c>
    </row>
    <row r="67" spans="1:22" x14ac:dyDescent="0.3">
      <c r="A67" t="s">
        <v>221</v>
      </c>
      <c r="B67" t="s">
        <v>222</v>
      </c>
      <c r="C67" t="s">
        <v>223</v>
      </c>
      <c r="D67" t="s">
        <v>44</v>
      </c>
      <c r="E67" t="s">
        <v>45</v>
      </c>
      <c r="F67">
        <v>3</v>
      </c>
      <c r="G67">
        <v>1616</v>
      </c>
      <c r="H67">
        <v>4848</v>
      </c>
      <c r="I67" t="s">
        <v>53</v>
      </c>
      <c r="J67" t="s">
        <v>40</v>
      </c>
      <c r="K67" t="str">
        <f>LEFT(Table15[[#This Row],[Customer_Name]],3)</f>
        <v>Bry</v>
      </c>
      <c r="L67" t="str">
        <f>RIGHT(Table15[[#This Row],[Customer_Name]],3)</f>
        <v>ran</v>
      </c>
      <c r="M67" t="str">
        <f>MID(Table15[[#This Row],[Customer_Name]],4,3)</f>
        <v xml:space="preserve">an </v>
      </c>
      <c r="N67">
        <f>LEN(Table15[[#This Row],[Customer_Name]])</f>
        <v>11</v>
      </c>
      <c r="O67" t="str">
        <f t="shared" ref="O67:O101" si="1">_xlfn.CONCAT(K67,M67,L67)</f>
        <v>Bryan ran</v>
      </c>
      <c r="Q67" t="str">
        <f>UPPER(Table15[[#This Row],[Customer_Name]])</f>
        <v>BRYAN MORAN</v>
      </c>
      <c r="R67" t="str">
        <f>LOWER(Table15[[#This Row],[Customer_Name]])</f>
        <v>bryan moran</v>
      </c>
      <c r="S67" t="str">
        <f>TRIM(Table15[[#This Row],[Payment_Method]])</f>
        <v>Net Banking</v>
      </c>
      <c r="T67" t="str">
        <f>SUBSTITUTE(Table15[[#This Row],[Payment_Method]],"C","A")</f>
        <v>Net Banking</v>
      </c>
      <c r="U67" t="str">
        <f>REPLACE(Table15[[#This Row],[Order_ID]],2,3,"A")</f>
        <v>OA066</v>
      </c>
      <c r="V67" t="e">
        <f>FIND("a",Table15[[#This Row],[Product]])</f>
        <v>#VALUE!</v>
      </c>
    </row>
    <row r="68" spans="1:22" x14ac:dyDescent="0.3">
      <c r="A68" t="s">
        <v>224</v>
      </c>
      <c r="B68" t="s">
        <v>225</v>
      </c>
      <c r="C68" t="s">
        <v>226</v>
      </c>
      <c r="D68" t="s">
        <v>44</v>
      </c>
      <c r="E68" t="s">
        <v>31</v>
      </c>
      <c r="F68">
        <v>2</v>
      </c>
      <c r="G68">
        <v>952</v>
      </c>
      <c r="H68">
        <v>1904</v>
      </c>
      <c r="I68" t="s">
        <v>21</v>
      </c>
      <c r="J68" t="s">
        <v>27</v>
      </c>
      <c r="K68" t="str">
        <f>LEFT(Table15[[#This Row],[Customer_Name]],3)</f>
        <v>Emi</v>
      </c>
      <c r="L68" t="str">
        <f>RIGHT(Table15[[#This Row],[Customer_Name]],3)</f>
        <v>mez</v>
      </c>
      <c r="M68" t="str">
        <f>MID(Table15[[#This Row],[Customer_Name]],4,3)</f>
        <v xml:space="preserve">ly </v>
      </c>
      <c r="N68">
        <f>LEN(Table15[[#This Row],[Customer_Name]])</f>
        <v>11</v>
      </c>
      <c r="O68" t="str">
        <f t="shared" si="1"/>
        <v>Emily mez</v>
      </c>
      <c r="Q68" t="str">
        <f>UPPER(Table15[[#This Row],[Customer_Name]])</f>
        <v>EMILY GOMEZ</v>
      </c>
      <c r="R68" t="str">
        <f>LOWER(Table15[[#This Row],[Customer_Name]])</f>
        <v>emily gomez</v>
      </c>
      <c r="S68" t="str">
        <f>TRIM(Table15[[#This Row],[Payment_Method]])</f>
        <v>Cash</v>
      </c>
      <c r="T68" t="str">
        <f>SUBSTITUTE(Table15[[#This Row],[Payment_Method]],"C","A")</f>
        <v>Aash</v>
      </c>
      <c r="U68" t="str">
        <f>REPLACE(Table15[[#This Row],[Order_ID]],2,3,"A")</f>
        <v>OA067</v>
      </c>
      <c r="V68">
        <f>FIND("a",Table15[[#This Row],[Product]])</f>
        <v>6</v>
      </c>
    </row>
    <row r="69" spans="1:22" x14ac:dyDescent="0.3">
      <c r="A69" t="s">
        <v>227</v>
      </c>
      <c r="B69" t="s">
        <v>228</v>
      </c>
      <c r="C69" t="s">
        <v>229</v>
      </c>
      <c r="D69" t="s">
        <v>44</v>
      </c>
      <c r="E69" t="s">
        <v>26</v>
      </c>
      <c r="F69">
        <v>10</v>
      </c>
      <c r="G69">
        <v>447</v>
      </c>
      <c r="H69">
        <v>4470</v>
      </c>
      <c r="I69" t="s">
        <v>67</v>
      </c>
      <c r="J69" t="s">
        <v>27</v>
      </c>
      <c r="K69" t="str">
        <f>LEFT(Table15[[#This Row],[Customer_Name]],3)</f>
        <v>Jas</v>
      </c>
      <c r="L69" t="str">
        <f>RIGHT(Table15[[#This Row],[Customer_Name]],3)</f>
        <v>ing</v>
      </c>
      <c r="M69" t="str">
        <f>MID(Table15[[#This Row],[Customer_Name]],4,3)</f>
        <v xml:space="preserve">on </v>
      </c>
      <c r="N69">
        <f>LEN(Table15[[#This Row],[Customer_Name]])</f>
        <v>13</v>
      </c>
      <c r="O69" t="str">
        <f t="shared" si="1"/>
        <v>Jason ing</v>
      </c>
      <c r="Q69" t="str">
        <f>UPPER(Table15[[#This Row],[Customer_Name]])</f>
        <v>JASON HARDING</v>
      </c>
      <c r="R69" t="str">
        <f>LOWER(Table15[[#This Row],[Customer_Name]])</f>
        <v>jason harding</v>
      </c>
      <c r="S69" t="str">
        <f>TRIM(Table15[[#This Row],[Payment_Method]])</f>
        <v>Cash</v>
      </c>
      <c r="T69" t="str">
        <f>SUBSTITUTE(Table15[[#This Row],[Payment_Method]],"C","A")</f>
        <v>Aash</v>
      </c>
      <c r="U69" t="str">
        <f>REPLACE(Table15[[#This Row],[Order_ID]],2,3,"A")</f>
        <v>OA068</v>
      </c>
      <c r="V69">
        <f>FIND("a",Table15[[#This Row],[Product]])</f>
        <v>3</v>
      </c>
    </row>
    <row r="70" spans="1:22" x14ac:dyDescent="0.3">
      <c r="A70" t="s">
        <v>230</v>
      </c>
      <c r="B70" t="s">
        <v>231</v>
      </c>
      <c r="C70" t="s">
        <v>232</v>
      </c>
      <c r="D70" t="s">
        <v>44</v>
      </c>
      <c r="E70" t="s">
        <v>86</v>
      </c>
      <c r="F70">
        <v>7</v>
      </c>
      <c r="G70">
        <v>412</v>
      </c>
      <c r="H70">
        <v>2884</v>
      </c>
      <c r="I70" t="s">
        <v>39</v>
      </c>
      <c r="J70" t="s">
        <v>40</v>
      </c>
      <c r="K70" t="str">
        <f>LEFT(Table15[[#This Row],[Customer_Name]],3)</f>
        <v>Dev</v>
      </c>
      <c r="L70" t="str">
        <f>RIGHT(Table15[[#This Row],[Customer_Name]],3)</f>
        <v>ons</v>
      </c>
      <c r="M70" t="str">
        <f>MID(Table15[[#This Row],[Customer_Name]],4,3)</f>
        <v xml:space="preserve">in </v>
      </c>
      <c r="N70">
        <f>LEN(Table15[[#This Row],[Customer_Name]])</f>
        <v>13</v>
      </c>
      <c r="O70" t="str">
        <f t="shared" si="1"/>
        <v>Devin ons</v>
      </c>
      <c r="Q70" t="str">
        <f>UPPER(Table15[[#This Row],[Customer_Name]])</f>
        <v>DEVIN SIMMONS</v>
      </c>
      <c r="R70" t="str">
        <f>LOWER(Table15[[#This Row],[Customer_Name]])</f>
        <v>devin simmons</v>
      </c>
      <c r="S70" t="str">
        <f>TRIM(Table15[[#This Row],[Payment_Method]])</f>
        <v>Net Banking</v>
      </c>
      <c r="T70" t="str">
        <f>SUBSTITUTE(Table15[[#This Row],[Payment_Method]],"C","A")</f>
        <v>Net Banking</v>
      </c>
      <c r="U70" t="str">
        <f>REPLACE(Table15[[#This Row],[Order_ID]],2,3,"A")</f>
        <v>OA069</v>
      </c>
      <c r="V70" t="e">
        <f>FIND("a",Table15[[#This Row],[Product]])</f>
        <v>#VALUE!</v>
      </c>
    </row>
    <row r="71" spans="1:22" x14ac:dyDescent="0.3">
      <c r="A71" t="s">
        <v>233</v>
      </c>
      <c r="B71" t="s">
        <v>234</v>
      </c>
      <c r="C71" t="s">
        <v>235</v>
      </c>
      <c r="D71" t="s">
        <v>20</v>
      </c>
      <c r="E71" t="s">
        <v>26</v>
      </c>
      <c r="F71">
        <v>6</v>
      </c>
      <c r="G71">
        <v>1276</v>
      </c>
      <c r="H71">
        <v>7656</v>
      </c>
      <c r="I71" t="s">
        <v>53</v>
      </c>
      <c r="J71" t="s">
        <v>22</v>
      </c>
      <c r="K71" t="str">
        <f>LEFT(Table15[[#This Row],[Customer_Name]],3)</f>
        <v>Rob</v>
      </c>
      <c r="L71" t="str">
        <f>RIGHT(Table15[[#This Row],[Customer_Name]],3)</f>
        <v>lds</v>
      </c>
      <c r="M71" t="str">
        <f>MID(Table15[[#This Row],[Customer_Name]],4,3)</f>
        <v>ert</v>
      </c>
      <c r="N71">
        <f>LEN(Table15[[#This Row],[Customer_Name]])</f>
        <v>15</v>
      </c>
      <c r="O71" t="str">
        <f t="shared" si="1"/>
        <v>Robertlds</v>
      </c>
      <c r="Q71" t="str">
        <f>UPPER(Table15[[#This Row],[Customer_Name]])</f>
        <v>ROBERT REYNOLDS</v>
      </c>
      <c r="R71" t="str">
        <f>LOWER(Table15[[#This Row],[Customer_Name]])</f>
        <v>robert reynolds</v>
      </c>
      <c r="S71" t="str">
        <f>TRIM(Table15[[#This Row],[Payment_Method]])</f>
        <v>UPI</v>
      </c>
      <c r="T71" t="str">
        <f>SUBSTITUTE(Table15[[#This Row],[Payment_Method]],"C","A")</f>
        <v>UPI</v>
      </c>
      <c r="U71" t="str">
        <f>REPLACE(Table15[[#This Row],[Order_ID]],2,3,"A")</f>
        <v>OA070</v>
      </c>
      <c r="V71">
        <f>FIND("a",Table15[[#This Row],[Product]])</f>
        <v>3</v>
      </c>
    </row>
    <row r="72" spans="1:22" x14ac:dyDescent="0.3">
      <c r="A72" t="s">
        <v>236</v>
      </c>
      <c r="B72" t="s">
        <v>237</v>
      </c>
      <c r="C72" t="s">
        <v>238</v>
      </c>
      <c r="D72" t="s">
        <v>44</v>
      </c>
      <c r="E72" t="s">
        <v>60</v>
      </c>
      <c r="F72">
        <v>9</v>
      </c>
      <c r="G72">
        <v>1100</v>
      </c>
      <c r="H72">
        <v>9900</v>
      </c>
      <c r="I72" t="s">
        <v>39</v>
      </c>
      <c r="J72" t="s">
        <v>22</v>
      </c>
      <c r="K72" t="str">
        <f>LEFT(Table15[[#This Row],[Customer_Name]],3)</f>
        <v>Eve</v>
      </c>
      <c r="L72" t="str">
        <f>RIGHT(Table15[[#This Row],[Customer_Name]],3)</f>
        <v>rry</v>
      </c>
      <c r="M72" t="str">
        <f>MID(Table15[[#This Row],[Customer_Name]],4,3)</f>
        <v>lyn</v>
      </c>
      <c r="N72">
        <f>LEN(Table15[[#This Row],[Customer_Name]])</f>
        <v>12</v>
      </c>
      <c r="O72" t="str">
        <f t="shared" si="1"/>
        <v>Evelynrry</v>
      </c>
      <c r="Q72" t="str">
        <f>UPPER(Table15[[#This Row],[Customer_Name]])</f>
        <v>EVELYN PERRY</v>
      </c>
      <c r="R72" t="str">
        <f>LOWER(Table15[[#This Row],[Customer_Name]])</f>
        <v>evelyn perry</v>
      </c>
      <c r="S72" t="str">
        <f>TRIM(Table15[[#This Row],[Payment_Method]])</f>
        <v>UPI</v>
      </c>
      <c r="T72" t="str">
        <f>SUBSTITUTE(Table15[[#This Row],[Payment_Method]],"C","A")</f>
        <v>UPI</v>
      </c>
      <c r="U72" t="str">
        <f>REPLACE(Table15[[#This Row],[Order_ID]],2,3,"A")</f>
        <v>OA071</v>
      </c>
      <c r="V72">
        <f>FIND("a",Table15[[#This Row],[Product]])</f>
        <v>2</v>
      </c>
    </row>
    <row r="73" spans="1:22" x14ac:dyDescent="0.3">
      <c r="A73" t="s">
        <v>239</v>
      </c>
      <c r="B73" t="s">
        <v>240</v>
      </c>
      <c r="C73" t="s">
        <v>241</v>
      </c>
      <c r="D73" t="s">
        <v>13</v>
      </c>
      <c r="E73" t="s">
        <v>60</v>
      </c>
      <c r="F73">
        <v>2</v>
      </c>
      <c r="G73">
        <v>1810</v>
      </c>
      <c r="H73">
        <v>3620</v>
      </c>
      <c r="I73" t="s">
        <v>35</v>
      </c>
      <c r="J73" t="s">
        <v>27</v>
      </c>
      <c r="K73" t="str">
        <f>LEFT(Table15[[#This Row],[Customer_Name]],3)</f>
        <v>Eri</v>
      </c>
      <c r="L73" t="str">
        <f>RIGHT(Table15[[#This Row],[Customer_Name]],3)</f>
        <v>lch</v>
      </c>
      <c r="M73" t="str">
        <f>MID(Table15[[#This Row],[Customer_Name]],4,3)</f>
        <v xml:space="preserve">ca </v>
      </c>
      <c r="N73">
        <f>LEN(Table15[[#This Row],[Customer_Name]])</f>
        <v>11</v>
      </c>
      <c r="O73" t="str">
        <f t="shared" si="1"/>
        <v>Erica lch</v>
      </c>
      <c r="Q73" t="str">
        <f>UPPER(Table15[[#This Row],[Customer_Name]])</f>
        <v>ERICA WELCH</v>
      </c>
      <c r="R73" t="str">
        <f>LOWER(Table15[[#This Row],[Customer_Name]])</f>
        <v>erica welch</v>
      </c>
      <c r="S73" t="str">
        <f>TRIM(Table15[[#This Row],[Payment_Method]])</f>
        <v>Cash</v>
      </c>
      <c r="T73" t="str">
        <f>SUBSTITUTE(Table15[[#This Row],[Payment_Method]],"C","A")</f>
        <v>Aash</v>
      </c>
      <c r="U73" t="str">
        <f>REPLACE(Table15[[#This Row],[Order_ID]],2,3,"A")</f>
        <v>OA072</v>
      </c>
      <c r="V73">
        <f>FIND("a",Table15[[#This Row],[Product]])</f>
        <v>2</v>
      </c>
    </row>
    <row r="74" spans="1:22" x14ac:dyDescent="0.3">
      <c r="A74" t="s">
        <v>242</v>
      </c>
      <c r="B74" t="s">
        <v>243</v>
      </c>
      <c r="C74" t="s">
        <v>244</v>
      </c>
      <c r="D74" t="s">
        <v>44</v>
      </c>
      <c r="E74" t="s">
        <v>86</v>
      </c>
      <c r="F74">
        <v>8</v>
      </c>
      <c r="G74">
        <v>678</v>
      </c>
      <c r="H74">
        <v>5424</v>
      </c>
      <c r="I74" t="s">
        <v>53</v>
      </c>
      <c r="J74" t="s">
        <v>27</v>
      </c>
      <c r="K74" t="str">
        <f>LEFT(Table15[[#This Row],[Customer_Name]],3)</f>
        <v>Ale</v>
      </c>
      <c r="L74" t="str">
        <f>RIGHT(Table15[[#This Row],[Customer_Name]],3)</f>
        <v>son</v>
      </c>
      <c r="M74" t="str">
        <f>MID(Table15[[#This Row],[Customer_Name]],4,3)</f>
        <v>xan</v>
      </c>
      <c r="N74">
        <f>LEN(Table15[[#This Row],[Customer_Name]])</f>
        <v>18</v>
      </c>
      <c r="O74" t="str">
        <f t="shared" si="1"/>
        <v>Alexanson</v>
      </c>
      <c r="Q74" t="str">
        <f>UPPER(Table15[[#This Row],[Customer_Name]])</f>
        <v>ALEXANDRA HARRISON</v>
      </c>
      <c r="R74" t="str">
        <f>LOWER(Table15[[#This Row],[Customer_Name]])</f>
        <v>alexandra harrison</v>
      </c>
      <c r="S74" t="str">
        <f>TRIM(Table15[[#This Row],[Payment_Method]])</f>
        <v>Cash</v>
      </c>
      <c r="T74" t="str">
        <f>SUBSTITUTE(Table15[[#This Row],[Payment_Method]],"C","A")</f>
        <v>Aash</v>
      </c>
      <c r="U74" t="str">
        <f>REPLACE(Table15[[#This Row],[Order_ID]],2,3,"A")</f>
        <v>OA073</v>
      </c>
      <c r="V74" t="e">
        <f>FIND("a",Table15[[#This Row],[Product]])</f>
        <v>#VALUE!</v>
      </c>
    </row>
    <row r="75" spans="1:22" x14ac:dyDescent="0.3">
      <c r="A75" t="s">
        <v>245</v>
      </c>
      <c r="B75" t="s">
        <v>246</v>
      </c>
      <c r="C75" t="s">
        <v>247</v>
      </c>
      <c r="D75" t="s">
        <v>44</v>
      </c>
      <c r="E75" t="s">
        <v>14</v>
      </c>
      <c r="F75">
        <v>8</v>
      </c>
      <c r="G75">
        <v>183</v>
      </c>
      <c r="H75">
        <v>1464</v>
      </c>
      <c r="I75" t="s">
        <v>15</v>
      </c>
      <c r="J75" t="s">
        <v>16</v>
      </c>
      <c r="K75" t="str">
        <f>LEFT(Table15[[#This Row],[Customer_Name]],3)</f>
        <v>Nat</v>
      </c>
      <c r="L75" t="str">
        <f>RIGHT(Table15[[#This Row],[Customer_Name]],3)</f>
        <v>own</v>
      </c>
      <c r="M75" t="str">
        <f>MID(Table15[[#This Row],[Customer_Name]],4,3)</f>
        <v>han</v>
      </c>
      <c r="N75">
        <f>LEN(Table15[[#This Row],[Customer_Name]])</f>
        <v>12</v>
      </c>
      <c r="O75" t="str">
        <f t="shared" si="1"/>
        <v>Nathanown</v>
      </c>
      <c r="Q75" t="str">
        <f>UPPER(Table15[[#This Row],[Customer_Name]])</f>
        <v>NATHAN BROWN</v>
      </c>
      <c r="R75" t="str">
        <f>LOWER(Table15[[#This Row],[Customer_Name]])</f>
        <v>nathan brown</v>
      </c>
      <c r="S75" t="str">
        <f>TRIM(Table15[[#This Row],[Payment_Method]])</f>
        <v>Card</v>
      </c>
      <c r="T75" t="str">
        <f>SUBSTITUTE(Table15[[#This Row],[Payment_Method]],"C","A")</f>
        <v>Aard</v>
      </c>
      <c r="U75" t="str">
        <f>REPLACE(Table15[[#This Row],[Order_ID]],2,3,"A")</f>
        <v>OA074</v>
      </c>
      <c r="V75">
        <f>FIND("a",Table15[[#This Row],[Product]])</f>
        <v>2</v>
      </c>
    </row>
    <row r="76" spans="1:22" x14ac:dyDescent="0.3">
      <c r="A76" t="s">
        <v>248</v>
      </c>
      <c r="B76" t="s">
        <v>249</v>
      </c>
      <c r="C76" t="s">
        <v>250</v>
      </c>
      <c r="D76" t="s">
        <v>49</v>
      </c>
      <c r="E76" t="s">
        <v>26</v>
      </c>
      <c r="F76">
        <v>9</v>
      </c>
      <c r="G76">
        <v>433</v>
      </c>
      <c r="H76">
        <v>3897</v>
      </c>
      <c r="I76" t="s">
        <v>21</v>
      </c>
      <c r="J76" t="s">
        <v>40</v>
      </c>
      <c r="K76" t="str">
        <f>LEFT(Table15[[#This Row],[Customer_Name]],3)</f>
        <v>Jer</v>
      </c>
      <c r="L76" t="str">
        <f>RIGHT(Table15[[#This Row],[Customer_Name]],3)</f>
        <v>ord</v>
      </c>
      <c r="M76" t="str">
        <f>MID(Table15[[#This Row],[Customer_Name]],4,3)</f>
        <v>emy</v>
      </c>
      <c r="N76">
        <f>LEN(Table15[[#This Row],[Customer_Name]])</f>
        <v>15</v>
      </c>
      <c r="O76" t="str">
        <f t="shared" si="1"/>
        <v>Jeremyord</v>
      </c>
      <c r="Q76" t="str">
        <f>UPPER(Table15[[#This Row],[Customer_Name]])</f>
        <v>JEREMY CRAWFORD</v>
      </c>
      <c r="R76" t="str">
        <f>LOWER(Table15[[#This Row],[Customer_Name]])</f>
        <v>jeremy crawford</v>
      </c>
      <c r="S76" t="str">
        <f>TRIM(Table15[[#This Row],[Payment_Method]])</f>
        <v>Net Banking</v>
      </c>
      <c r="T76" t="str">
        <f>SUBSTITUTE(Table15[[#This Row],[Payment_Method]],"C","A")</f>
        <v>Net Banking</v>
      </c>
      <c r="U76" t="str">
        <f>REPLACE(Table15[[#This Row],[Order_ID]],2,3,"A")</f>
        <v>OA075</v>
      </c>
      <c r="V76">
        <f>FIND("a",Table15[[#This Row],[Product]])</f>
        <v>3</v>
      </c>
    </row>
    <row r="77" spans="1:22" x14ac:dyDescent="0.3">
      <c r="A77" t="s">
        <v>251</v>
      </c>
      <c r="B77" t="s">
        <v>252</v>
      </c>
      <c r="C77" t="s">
        <v>253</v>
      </c>
      <c r="D77" t="s">
        <v>13</v>
      </c>
      <c r="E77" t="s">
        <v>14</v>
      </c>
      <c r="F77">
        <v>6</v>
      </c>
      <c r="G77">
        <v>1799</v>
      </c>
      <c r="H77">
        <v>10794</v>
      </c>
      <c r="I77" t="s">
        <v>67</v>
      </c>
      <c r="J77" t="s">
        <v>22</v>
      </c>
      <c r="K77" t="str">
        <f>LEFT(Table15[[#This Row],[Customer_Name]],3)</f>
        <v>Amy</v>
      </c>
      <c r="L77" t="str">
        <f>RIGHT(Table15[[#This Row],[Customer_Name]],3)</f>
        <v>uez</v>
      </c>
      <c r="M77" t="str">
        <f>MID(Table15[[#This Row],[Customer_Name]],4,3)</f>
        <v xml:space="preserve"> Ro</v>
      </c>
      <c r="N77">
        <f>LEN(Table15[[#This Row],[Customer_Name]])</f>
        <v>13</v>
      </c>
      <c r="O77" t="str">
        <f t="shared" si="1"/>
        <v>Amy Rouez</v>
      </c>
      <c r="Q77" t="str">
        <f>UPPER(Table15[[#This Row],[Customer_Name]])</f>
        <v>AMY RODRIGUEZ</v>
      </c>
      <c r="R77" t="str">
        <f>LOWER(Table15[[#This Row],[Customer_Name]])</f>
        <v>amy rodriguez</v>
      </c>
      <c r="S77" t="str">
        <f>TRIM(Table15[[#This Row],[Payment_Method]])</f>
        <v>UPI</v>
      </c>
      <c r="T77" t="str">
        <f>SUBSTITUTE(Table15[[#This Row],[Payment_Method]],"C","A")</f>
        <v>UPI</v>
      </c>
      <c r="U77" t="str">
        <f>REPLACE(Table15[[#This Row],[Order_ID]],2,3,"A")</f>
        <v>OA076</v>
      </c>
      <c r="V77">
        <f>FIND("a",Table15[[#This Row],[Product]])</f>
        <v>2</v>
      </c>
    </row>
    <row r="78" spans="1:22" x14ac:dyDescent="0.3">
      <c r="A78" t="s">
        <v>254</v>
      </c>
      <c r="B78" t="s">
        <v>255</v>
      </c>
      <c r="C78" t="s">
        <v>256</v>
      </c>
      <c r="D78" t="s">
        <v>20</v>
      </c>
      <c r="E78" t="s">
        <v>31</v>
      </c>
      <c r="F78">
        <v>6</v>
      </c>
      <c r="G78">
        <v>266</v>
      </c>
      <c r="H78">
        <v>1596</v>
      </c>
      <c r="I78" t="s">
        <v>67</v>
      </c>
      <c r="J78" t="s">
        <v>22</v>
      </c>
      <c r="K78" t="str">
        <f>LEFT(Table15[[#This Row],[Customer_Name]],3)</f>
        <v>Mar</v>
      </c>
      <c r="L78" t="str">
        <f>RIGHT(Table15[[#This Row],[Customer_Name]],3)</f>
        <v>uez</v>
      </c>
      <c r="M78" t="str">
        <f>MID(Table15[[#This Row],[Customer_Name]],4,3)</f>
        <v>y R</v>
      </c>
      <c r="N78">
        <f>LEN(Table15[[#This Row],[Customer_Name]])</f>
        <v>14</v>
      </c>
      <c r="O78" t="str">
        <f t="shared" si="1"/>
        <v>Mary Ruez</v>
      </c>
      <c r="Q78" t="str">
        <f>UPPER(Table15[[#This Row],[Customer_Name]])</f>
        <v>MARY RODRIGUEZ</v>
      </c>
      <c r="R78" t="str">
        <f>LOWER(Table15[[#This Row],[Customer_Name]])</f>
        <v>mary rodriguez</v>
      </c>
      <c r="S78" t="str">
        <f>TRIM(Table15[[#This Row],[Payment_Method]])</f>
        <v>UPI</v>
      </c>
      <c r="T78" t="str">
        <f>SUBSTITUTE(Table15[[#This Row],[Payment_Method]],"C","A")</f>
        <v>UPI</v>
      </c>
      <c r="U78" t="str">
        <f>REPLACE(Table15[[#This Row],[Order_ID]],2,3,"A")</f>
        <v>OA077</v>
      </c>
      <c r="V78">
        <f>FIND("a",Table15[[#This Row],[Product]])</f>
        <v>6</v>
      </c>
    </row>
    <row r="79" spans="1:22" x14ac:dyDescent="0.3">
      <c r="A79" t="s">
        <v>257</v>
      </c>
      <c r="B79" t="s">
        <v>249</v>
      </c>
      <c r="C79" t="s">
        <v>258</v>
      </c>
      <c r="D79" t="s">
        <v>13</v>
      </c>
      <c r="E79" t="s">
        <v>86</v>
      </c>
      <c r="F79">
        <v>6</v>
      </c>
      <c r="G79">
        <v>1703</v>
      </c>
      <c r="H79">
        <v>10218</v>
      </c>
      <c r="I79" t="s">
        <v>21</v>
      </c>
      <c r="J79" t="s">
        <v>22</v>
      </c>
      <c r="K79" t="str">
        <f>LEFT(Table15[[#This Row],[Customer_Name]],3)</f>
        <v>Vir</v>
      </c>
      <c r="L79" t="str">
        <f>RIGHT(Table15[[#This Row],[Customer_Name]],3)</f>
        <v>cas</v>
      </c>
      <c r="M79" t="str">
        <f>MID(Table15[[#This Row],[Customer_Name]],4,3)</f>
        <v>gin</v>
      </c>
      <c r="N79">
        <f>LEN(Table15[[#This Row],[Customer_Name]])</f>
        <v>14</v>
      </c>
      <c r="O79" t="str">
        <f t="shared" si="1"/>
        <v>Virgincas</v>
      </c>
      <c r="Q79" t="str">
        <f>UPPER(Table15[[#This Row],[Customer_Name]])</f>
        <v>VIRGINIA LUCAS</v>
      </c>
      <c r="R79" t="str">
        <f>LOWER(Table15[[#This Row],[Customer_Name]])</f>
        <v>virginia lucas</v>
      </c>
      <c r="S79" t="str">
        <f>TRIM(Table15[[#This Row],[Payment_Method]])</f>
        <v>UPI</v>
      </c>
      <c r="T79" t="str">
        <f>SUBSTITUTE(Table15[[#This Row],[Payment_Method]],"C","A")</f>
        <v>UPI</v>
      </c>
      <c r="U79" t="str">
        <f>REPLACE(Table15[[#This Row],[Order_ID]],2,3,"A")</f>
        <v>OA078</v>
      </c>
      <c r="V79" t="e">
        <f>FIND("a",Table15[[#This Row],[Product]])</f>
        <v>#VALUE!</v>
      </c>
    </row>
    <row r="80" spans="1:22" x14ac:dyDescent="0.3">
      <c r="A80" t="s">
        <v>259</v>
      </c>
      <c r="B80" t="s">
        <v>260</v>
      </c>
      <c r="C80" t="s">
        <v>261</v>
      </c>
      <c r="D80" t="s">
        <v>13</v>
      </c>
      <c r="E80" t="s">
        <v>86</v>
      </c>
      <c r="F80">
        <v>7</v>
      </c>
      <c r="G80">
        <v>511</v>
      </c>
      <c r="H80">
        <v>3577</v>
      </c>
      <c r="I80" t="s">
        <v>67</v>
      </c>
      <c r="J80" t="s">
        <v>40</v>
      </c>
      <c r="K80" t="str">
        <f>LEFT(Table15[[#This Row],[Customer_Name]],3)</f>
        <v>Bra</v>
      </c>
      <c r="L80" t="str">
        <f>RIGHT(Table15[[#This Row],[Customer_Name]],3)</f>
        <v>nan</v>
      </c>
      <c r="M80" t="str">
        <f>MID(Table15[[#This Row],[Customer_Name]],4,3)</f>
        <v>ndy</v>
      </c>
      <c r="N80">
        <f>LEN(Table15[[#This Row],[Customer_Name]])</f>
        <v>15</v>
      </c>
      <c r="O80" t="str">
        <f t="shared" si="1"/>
        <v>Brandynan</v>
      </c>
      <c r="Q80" t="str">
        <f>UPPER(Table15[[#This Row],[Customer_Name]])</f>
        <v>BRANDY BUCHANAN</v>
      </c>
      <c r="R80" t="str">
        <f>LOWER(Table15[[#This Row],[Customer_Name]])</f>
        <v>brandy buchanan</v>
      </c>
      <c r="S80" t="str">
        <f>TRIM(Table15[[#This Row],[Payment_Method]])</f>
        <v>Net Banking</v>
      </c>
      <c r="T80" t="str">
        <f>SUBSTITUTE(Table15[[#This Row],[Payment_Method]],"C","A")</f>
        <v>Net Banking</v>
      </c>
      <c r="U80" t="str">
        <f>REPLACE(Table15[[#This Row],[Order_ID]],2,3,"A")</f>
        <v>OA079</v>
      </c>
      <c r="V80" t="e">
        <f>FIND("a",Table15[[#This Row],[Product]])</f>
        <v>#VALUE!</v>
      </c>
    </row>
    <row r="81" spans="1:22" x14ac:dyDescent="0.3">
      <c r="A81" t="s">
        <v>262</v>
      </c>
      <c r="B81" t="s">
        <v>263</v>
      </c>
      <c r="C81" t="s">
        <v>264</v>
      </c>
      <c r="D81" t="s">
        <v>13</v>
      </c>
      <c r="E81" t="s">
        <v>86</v>
      </c>
      <c r="F81">
        <v>2</v>
      </c>
      <c r="G81">
        <v>382</v>
      </c>
      <c r="H81">
        <v>764</v>
      </c>
      <c r="I81" t="s">
        <v>15</v>
      </c>
      <c r="J81" t="s">
        <v>40</v>
      </c>
      <c r="K81" t="str">
        <f>LEFT(Table15[[#This Row],[Customer_Name]],3)</f>
        <v>Rob</v>
      </c>
      <c r="L81" t="str">
        <f>RIGHT(Table15[[#This Row],[Customer_Name]],3)</f>
        <v>ard</v>
      </c>
      <c r="M81" t="str">
        <f>MID(Table15[[#This Row],[Customer_Name]],4,3)</f>
        <v xml:space="preserve">in </v>
      </c>
      <c r="N81">
        <f>LEN(Table15[[#This Row],[Customer_Name]])</f>
        <v>13</v>
      </c>
      <c r="O81" t="str">
        <f t="shared" si="1"/>
        <v>Robin ard</v>
      </c>
      <c r="Q81" t="str">
        <f>UPPER(Table15[[#This Row],[Customer_Name]])</f>
        <v>ROBIN HUBBARD</v>
      </c>
      <c r="R81" t="str">
        <f>LOWER(Table15[[#This Row],[Customer_Name]])</f>
        <v>robin hubbard</v>
      </c>
      <c r="S81" t="str">
        <f>TRIM(Table15[[#This Row],[Payment_Method]])</f>
        <v>Net Banking</v>
      </c>
      <c r="T81" t="str">
        <f>SUBSTITUTE(Table15[[#This Row],[Payment_Method]],"C","A")</f>
        <v>Net Banking</v>
      </c>
      <c r="U81" t="str">
        <f>REPLACE(Table15[[#This Row],[Order_ID]],2,3,"A")</f>
        <v>OA080</v>
      </c>
      <c r="V81" t="e">
        <f>FIND("a",Table15[[#This Row],[Product]])</f>
        <v>#VALUE!</v>
      </c>
    </row>
    <row r="82" spans="1:22" x14ac:dyDescent="0.3">
      <c r="A82" t="s">
        <v>265</v>
      </c>
      <c r="B82" t="s">
        <v>266</v>
      </c>
      <c r="C82" t="s">
        <v>267</v>
      </c>
      <c r="D82" t="s">
        <v>49</v>
      </c>
      <c r="E82" t="s">
        <v>45</v>
      </c>
      <c r="F82">
        <v>1</v>
      </c>
      <c r="G82">
        <v>475</v>
      </c>
      <c r="H82">
        <v>475</v>
      </c>
      <c r="I82" t="s">
        <v>67</v>
      </c>
      <c r="J82" t="s">
        <v>40</v>
      </c>
      <c r="K82" t="str">
        <f>LEFT(Table15[[#This Row],[Customer_Name]],3)</f>
        <v>Jen</v>
      </c>
      <c r="L82" t="str">
        <f>RIGHT(Table15[[#This Row],[Customer_Name]],3)</f>
        <v>ams</v>
      </c>
      <c r="M82" t="str">
        <f>MID(Table15[[#This Row],[Customer_Name]],4,3)</f>
        <v>nif</v>
      </c>
      <c r="N82">
        <f>LEN(Table15[[#This Row],[Customer_Name]])</f>
        <v>14</v>
      </c>
      <c r="O82" t="str">
        <f t="shared" si="1"/>
        <v>Jennifams</v>
      </c>
      <c r="Q82" t="str">
        <f>UPPER(Table15[[#This Row],[Customer_Name]])</f>
        <v>JENNIFER ADAMS</v>
      </c>
      <c r="R82" t="str">
        <f>LOWER(Table15[[#This Row],[Customer_Name]])</f>
        <v>jennifer adams</v>
      </c>
      <c r="S82" t="str">
        <f>TRIM(Table15[[#This Row],[Payment_Method]])</f>
        <v>Net Banking</v>
      </c>
      <c r="T82" t="str">
        <f>SUBSTITUTE(Table15[[#This Row],[Payment_Method]],"C","A")</f>
        <v>Net Banking</v>
      </c>
      <c r="U82" t="str">
        <f>REPLACE(Table15[[#This Row],[Order_ID]],2,3,"A")</f>
        <v>OA081</v>
      </c>
      <c r="V82" t="e">
        <f>FIND("a",Table15[[#This Row],[Product]])</f>
        <v>#VALUE!</v>
      </c>
    </row>
    <row r="83" spans="1:22" x14ac:dyDescent="0.3">
      <c r="A83" t="s">
        <v>268</v>
      </c>
      <c r="B83" t="s">
        <v>269</v>
      </c>
      <c r="C83" t="s">
        <v>270</v>
      </c>
      <c r="D83" t="s">
        <v>13</v>
      </c>
      <c r="E83" t="s">
        <v>60</v>
      </c>
      <c r="F83">
        <v>10</v>
      </c>
      <c r="G83">
        <v>1023</v>
      </c>
      <c r="H83">
        <v>10230</v>
      </c>
      <c r="I83" t="s">
        <v>67</v>
      </c>
      <c r="J83" t="s">
        <v>16</v>
      </c>
      <c r="K83" t="str">
        <f>LEFT(Table15[[#This Row],[Customer_Name]],3)</f>
        <v>Mr.</v>
      </c>
      <c r="L83" t="str">
        <f>RIGHT(Table15[[#This Row],[Customer_Name]],3)</f>
        <v>lor</v>
      </c>
      <c r="M83" t="str">
        <f>MID(Table15[[#This Row],[Customer_Name]],4,3)</f>
        <v xml:space="preserve"> Br</v>
      </c>
      <c r="N83">
        <f>LEN(Table15[[#This Row],[Customer_Name]])</f>
        <v>16</v>
      </c>
      <c r="O83" t="str">
        <f t="shared" si="1"/>
        <v>Mr. Brlor</v>
      </c>
      <c r="Q83" t="str">
        <f>UPPER(Table15[[#This Row],[Customer_Name]])</f>
        <v>MR. BRIAN TAYLOR</v>
      </c>
      <c r="R83" t="str">
        <f>LOWER(Table15[[#This Row],[Customer_Name]])</f>
        <v>mr. brian taylor</v>
      </c>
      <c r="S83" t="str">
        <f>TRIM(Table15[[#This Row],[Payment_Method]])</f>
        <v>Card</v>
      </c>
      <c r="T83" t="str">
        <f>SUBSTITUTE(Table15[[#This Row],[Payment_Method]],"C","A")</f>
        <v>Aard</v>
      </c>
      <c r="U83" t="str">
        <f>REPLACE(Table15[[#This Row],[Order_ID]],2,3,"A")</f>
        <v>OA082</v>
      </c>
      <c r="V83">
        <f>FIND("a",Table15[[#This Row],[Product]])</f>
        <v>2</v>
      </c>
    </row>
    <row r="84" spans="1:22" x14ac:dyDescent="0.3">
      <c r="A84" t="s">
        <v>271</v>
      </c>
      <c r="B84" t="s">
        <v>272</v>
      </c>
      <c r="C84" t="s">
        <v>273</v>
      </c>
      <c r="D84" t="s">
        <v>49</v>
      </c>
      <c r="E84" t="s">
        <v>26</v>
      </c>
      <c r="F84">
        <v>1</v>
      </c>
      <c r="G84">
        <v>1993</v>
      </c>
      <c r="H84">
        <v>1993</v>
      </c>
      <c r="I84" t="s">
        <v>35</v>
      </c>
      <c r="J84" t="s">
        <v>22</v>
      </c>
      <c r="K84" t="str">
        <f>LEFT(Table15[[#This Row],[Customer_Name]],3)</f>
        <v>Ali</v>
      </c>
      <c r="L84" t="str">
        <f>RIGHT(Table15[[#This Row],[Customer_Name]],3)</f>
        <v>des</v>
      </c>
      <c r="M84" t="str">
        <f>MID(Table15[[#This Row],[Customer_Name]],4,3)</f>
        <v>son</v>
      </c>
      <c r="N84">
        <f>LEN(Table15[[#This Row],[Customer_Name]])</f>
        <v>13</v>
      </c>
      <c r="O84" t="str">
        <f t="shared" si="1"/>
        <v>Alisondes</v>
      </c>
      <c r="Q84" t="str">
        <f>UPPER(Table15[[#This Row],[Customer_Name]])</f>
        <v>ALISON RHODES</v>
      </c>
      <c r="R84" t="str">
        <f>LOWER(Table15[[#This Row],[Customer_Name]])</f>
        <v>alison rhodes</v>
      </c>
      <c r="S84" t="str">
        <f>TRIM(Table15[[#This Row],[Payment_Method]])</f>
        <v>UPI</v>
      </c>
      <c r="T84" t="str">
        <f>SUBSTITUTE(Table15[[#This Row],[Payment_Method]],"C","A")</f>
        <v>UPI</v>
      </c>
      <c r="U84" t="str">
        <f>REPLACE(Table15[[#This Row],[Order_ID]],2,3,"A")</f>
        <v>OA083</v>
      </c>
      <c r="V84">
        <f>FIND("a",Table15[[#This Row],[Product]])</f>
        <v>3</v>
      </c>
    </row>
    <row r="85" spans="1:22" x14ac:dyDescent="0.3">
      <c r="A85" t="s">
        <v>274</v>
      </c>
      <c r="B85" t="s">
        <v>187</v>
      </c>
      <c r="C85" t="s">
        <v>275</v>
      </c>
      <c r="D85" t="s">
        <v>20</v>
      </c>
      <c r="E85" t="s">
        <v>60</v>
      </c>
      <c r="F85">
        <v>7</v>
      </c>
      <c r="G85">
        <v>407</v>
      </c>
      <c r="H85">
        <v>2849</v>
      </c>
      <c r="I85" t="s">
        <v>39</v>
      </c>
      <c r="J85" t="s">
        <v>27</v>
      </c>
      <c r="K85" t="str">
        <f>LEFT(Table15[[#This Row],[Customer_Name]],3)</f>
        <v>Jus</v>
      </c>
      <c r="L85" t="str">
        <f>RIGHT(Table15[[#This Row],[Customer_Name]],3)</f>
        <v>own</v>
      </c>
      <c r="M85" t="str">
        <f>MID(Table15[[#This Row],[Customer_Name]],4,3)</f>
        <v>tin</v>
      </c>
      <c r="N85">
        <f>LEN(Table15[[#This Row],[Customer_Name]])</f>
        <v>12</v>
      </c>
      <c r="O85" t="str">
        <f t="shared" si="1"/>
        <v>Justinown</v>
      </c>
      <c r="Q85" t="str">
        <f>UPPER(Table15[[#This Row],[Customer_Name]])</f>
        <v>JUSTIN BROWN</v>
      </c>
      <c r="R85" t="str">
        <f>LOWER(Table15[[#This Row],[Customer_Name]])</f>
        <v>justin brown</v>
      </c>
      <c r="S85" t="str">
        <f>TRIM(Table15[[#This Row],[Payment_Method]])</f>
        <v>Cash</v>
      </c>
      <c r="T85" t="str">
        <f>SUBSTITUTE(Table15[[#This Row],[Payment_Method]],"C","A")</f>
        <v>Aash</v>
      </c>
      <c r="U85" t="str">
        <f>REPLACE(Table15[[#This Row],[Order_ID]],2,3,"A")</f>
        <v>OA084</v>
      </c>
      <c r="V85">
        <f>FIND("a",Table15[[#This Row],[Product]])</f>
        <v>2</v>
      </c>
    </row>
    <row r="86" spans="1:22" x14ac:dyDescent="0.3">
      <c r="A86" t="s">
        <v>276</v>
      </c>
      <c r="B86" t="s">
        <v>277</v>
      </c>
      <c r="C86" t="s">
        <v>278</v>
      </c>
      <c r="D86" t="s">
        <v>44</v>
      </c>
      <c r="E86" t="s">
        <v>31</v>
      </c>
      <c r="F86">
        <v>7</v>
      </c>
      <c r="G86">
        <v>257</v>
      </c>
      <c r="H86">
        <v>1799</v>
      </c>
      <c r="I86" t="s">
        <v>35</v>
      </c>
      <c r="J86" t="s">
        <v>27</v>
      </c>
      <c r="K86" t="str">
        <f>LEFT(Table15[[#This Row],[Customer_Name]],3)</f>
        <v>Mar</v>
      </c>
      <c r="L86" t="str">
        <f>RIGHT(Table15[[#This Row],[Customer_Name]],3)</f>
        <v>May</v>
      </c>
      <c r="M86" t="str">
        <f>MID(Table15[[#This Row],[Customer_Name]],4,3)</f>
        <v>y M</v>
      </c>
      <c r="N86">
        <f>LEN(Table15[[#This Row],[Customer_Name]])</f>
        <v>8</v>
      </c>
      <c r="O86" t="str">
        <f t="shared" si="1"/>
        <v>Mary MMay</v>
      </c>
      <c r="Q86" t="str">
        <f>UPPER(Table15[[#This Row],[Customer_Name]])</f>
        <v>MARY MAY</v>
      </c>
      <c r="R86" t="str">
        <f>LOWER(Table15[[#This Row],[Customer_Name]])</f>
        <v>mary may</v>
      </c>
      <c r="S86" t="str">
        <f>TRIM(Table15[[#This Row],[Payment_Method]])</f>
        <v>Cash</v>
      </c>
      <c r="T86" t="str">
        <f>SUBSTITUTE(Table15[[#This Row],[Payment_Method]],"C","A")</f>
        <v>Aash</v>
      </c>
      <c r="U86" t="str">
        <f>REPLACE(Table15[[#This Row],[Order_ID]],2,3,"A")</f>
        <v>OA085</v>
      </c>
      <c r="V86">
        <f>FIND("a",Table15[[#This Row],[Product]])</f>
        <v>6</v>
      </c>
    </row>
    <row r="87" spans="1:22" x14ac:dyDescent="0.3">
      <c r="A87" t="s">
        <v>279</v>
      </c>
      <c r="B87" t="s">
        <v>280</v>
      </c>
      <c r="C87" t="s">
        <v>281</v>
      </c>
      <c r="D87" t="s">
        <v>13</v>
      </c>
      <c r="E87" t="s">
        <v>86</v>
      </c>
      <c r="F87">
        <v>10</v>
      </c>
      <c r="G87">
        <v>286</v>
      </c>
      <c r="H87">
        <v>2860</v>
      </c>
      <c r="I87" t="s">
        <v>21</v>
      </c>
      <c r="J87" t="s">
        <v>27</v>
      </c>
      <c r="K87" t="str">
        <f>LEFT(Table15[[#This Row],[Customer_Name]],3)</f>
        <v>Tho</v>
      </c>
      <c r="L87" t="str">
        <f>RIGHT(Table15[[#This Row],[Customer_Name]],3)</f>
        <v>son</v>
      </c>
      <c r="M87" t="str">
        <f>MID(Table15[[#This Row],[Customer_Name]],4,3)</f>
        <v>mas</v>
      </c>
      <c r="N87">
        <f>LEN(Table15[[#This Row],[Customer_Name]])</f>
        <v>13</v>
      </c>
      <c r="O87" t="str">
        <f t="shared" si="1"/>
        <v>Thomasson</v>
      </c>
      <c r="Q87" t="str">
        <f>UPPER(Table15[[#This Row],[Customer_Name]])</f>
        <v>THOMAS BENSON</v>
      </c>
      <c r="R87" t="str">
        <f>LOWER(Table15[[#This Row],[Customer_Name]])</f>
        <v>thomas benson</v>
      </c>
      <c r="S87" t="str">
        <f>TRIM(Table15[[#This Row],[Payment_Method]])</f>
        <v>Cash</v>
      </c>
      <c r="T87" t="str">
        <f>SUBSTITUTE(Table15[[#This Row],[Payment_Method]],"C","A")</f>
        <v>Aash</v>
      </c>
      <c r="U87" t="str">
        <f>REPLACE(Table15[[#This Row],[Order_ID]],2,3,"A")</f>
        <v>OA086</v>
      </c>
      <c r="V87" t="e">
        <f>FIND("a",Table15[[#This Row],[Product]])</f>
        <v>#VALUE!</v>
      </c>
    </row>
    <row r="88" spans="1:22" x14ac:dyDescent="0.3">
      <c r="A88" t="s">
        <v>282</v>
      </c>
      <c r="B88" t="s">
        <v>283</v>
      </c>
      <c r="C88" t="s">
        <v>284</v>
      </c>
      <c r="D88" t="s">
        <v>44</v>
      </c>
      <c r="E88" t="s">
        <v>26</v>
      </c>
      <c r="F88">
        <v>1</v>
      </c>
      <c r="G88">
        <v>1765</v>
      </c>
      <c r="H88">
        <v>1765</v>
      </c>
      <c r="I88" t="s">
        <v>39</v>
      </c>
      <c r="J88" t="s">
        <v>40</v>
      </c>
      <c r="K88" t="str">
        <f>LEFT(Table15[[#This Row],[Customer_Name]],3)</f>
        <v>Mr.</v>
      </c>
      <c r="L88" t="str">
        <f>RIGHT(Table15[[#This Row],[Customer_Name]],3)</f>
        <v>DDS</v>
      </c>
      <c r="M88" t="str">
        <f>MID(Table15[[#This Row],[Customer_Name]],4,3)</f>
        <v xml:space="preserve"> Ca</v>
      </c>
      <c r="N88">
        <f>LEN(Table15[[#This Row],[Customer_Name]])</f>
        <v>22</v>
      </c>
      <c r="O88" t="str">
        <f t="shared" si="1"/>
        <v>Mr. CaDDS</v>
      </c>
      <c r="Q88" t="str">
        <f>UPPER(Table15[[#This Row],[Customer_Name]])</f>
        <v>MR. CALEB PETERSON DDS</v>
      </c>
      <c r="R88" t="str">
        <f>LOWER(Table15[[#This Row],[Customer_Name]])</f>
        <v>mr. caleb peterson dds</v>
      </c>
      <c r="S88" t="str">
        <f>TRIM(Table15[[#This Row],[Payment_Method]])</f>
        <v>Net Banking</v>
      </c>
      <c r="T88" t="str">
        <f>SUBSTITUTE(Table15[[#This Row],[Payment_Method]],"C","A")</f>
        <v>Net Banking</v>
      </c>
      <c r="U88" t="str">
        <f>REPLACE(Table15[[#This Row],[Order_ID]],2,3,"A")</f>
        <v>OA087</v>
      </c>
      <c r="V88">
        <f>FIND("a",Table15[[#This Row],[Product]])</f>
        <v>3</v>
      </c>
    </row>
    <row r="89" spans="1:22" x14ac:dyDescent="0.3">
      <c r="A89" t="s">
        <v>285</v>
      </c>
      <c r="B89" t="s">
        <v>286</v>
      </c>
      <c r="C89" t="s">
        <v>287</v>
      </c>
      <c r="D89" t="s">
        <v>44</v>
      </c>
      <c r="E89" t="s">
        <v>45</v>
      </c>
      <c r="F89">
        <v>6</v>
      </c>
      <c r="G89">
        <v>1964</v>
      </c>
      <c r="H89">
        <v>11784</v>
      </c>
      <c r="I89" t="s">
        <v>67</v>
      </c>
      <c r="J89" t="s">
        <v>27</v>
      </c>
      <c r="K89" t="str">
        <f>LEFT(Table15[[#This Row],[Customer_Name]],3)</f>
        <v>Dav</v>
      </c>
      <c r="L89" t="str">
        <f>RIGHT(Table15[[#This Row],[Customer_Name]],3)</f>
        <v>uez</v>
      </c>
      <c r="M89" t="str">
        <f>MID(Table15[[#This Row],[Customer_Name]],4,3)</f>
        <v xml:space="preserve">id </v>
      </c>
      <c r="N89">
        <f>LEN(Table15[[#This Row],[Customer_Name]])</f>
        <v>13</v>
      </c>
      <c r="O89" t="str">
        <f t="shared" si="1"/>
        <v>David uez</v>
      </c>
      <c r="Q89" t="str">
        <f>UPPER(Table15[[#This Row],[Customer_Name]])</f>
        <v>DAVID VASQUEZ</v>
      </c>
      <c r="R89" t="str">
        <f>LOWER(Table15[[#This Row],[Customer_Name]])</f>
        <v>david vasquez</v>
      </c>
      <c r="S89" t="str">
        <f>TRIM(Table15[[#This Row],[Payment_Method]])</f>
        <v>Cash</v>
      </c>
      <c r="T89" t="str">
        <f>SUBSTITUTE(Table15[[#This Row],[Payment_Method]],"C","A")</f>
        <v>Aash</v>
      </c>
      <c r="U89" t="str">
        <f>REPLACE(Table15[[#This Row],[Order_ID]],2,3,"A")</f>
        <v>OA088</v>
      </c>
      <c r="V89" t="e">
        <f>FIND("a",Table15[[#This Row],[Product]])</f>
        <v>#VALUE!</v>
      </c>
    </row>
    <row r="90" spans="1:22" x14ac:dyDescent="0.3">
      <c r="A90" t="s">
        <v>288</v>
      </c>
      <c r="B90" t="s">
        <v>289</v>
      </c>
      <c r="C90" t="s">
        <v>290</v>
      </c>
      <c r="D90" t="s">
        <v>49</v>
      </c>
      <c r="E90" t="s">
        <v>86</v>
      </c>
      <c r="F90">
        <v>4</v>
      </c>
      <c r="G90">
        <v>1628</v>
      </c>
      <c r="H90">
        <v>6512</v>
      </c>
      <c r="I90" t="s">
        <v>35</v>
      </c>
      <c r="J90" t="s">
        <v>22</v>
      </c>
      <c r="K90" t="str">
        <f>LEFT(Table15[[#This Row],[Customer_Name]],3)</f>
        <v>Cas</v>
      </c>
      <c r="L90" t="str">
        <f>RIGHT(Table15[[#This Row],[Customer_Name]],3)</f>
        <v>son</v>
      </c>
      <c r="M90" t="str">
        <f>MID(Table15[[#This Row],[Customer_Name]],4,3)</f>
        <v xml:space="preserve">ey </v>
      </c>
      <c r="N90">
        <f>LEN(Table15[[#This Row],[Customer_Name]])</f>
        <v>14</v>
      </c>
      <c r="O90" t="str">
        <f t="shared" si="1"/>
        <v>Casey son</v>
      </c>
      <c r="Q90" t="str">
        <f>UPPER(Table15[[#This Row],[Customer_Name]])</f>
        <v>CASEY MORRISON</v>
      </c>
      <c r="R90" t="str">
        <f>LOWER(Table15[[#This Row],[Customer_Name]])</f>
        <v>casey morrison</v>
      </c>
      <c r="S90" t="str">
        <f>TRIM(Table15[[#This Row],[Payment_Method]])</f>
        <v>UPI</v>
      </c>
      <c r="T90" t="str">
        <f>SUBSTITUTE(Table15[[#This Row],[Payment_Method]],"C","A")</f>
        <v>UPI</v>
      </c>
      <c r="U90" t="str">
        <f>REPLACE(Table15[[#This Row],[Order_ID]],2,3,"A")</f>
        <v>OA089</v>
      </c>
      <c r="V90" t="e">
        <f>FIND("a",Table15[[#This Row],[Product]])</f>
        <v>#VALUE!</v>
      </c>
    </row>
    <row r="91" spans="1:22" x14ac:dyDescent="0.3">
      <c r="A91" t="s">
        <v>291</v>
      </c>
      <c r="B91" t="s">
        <v>33</v>
      </c>
      <c r="C91" t="s">
        <v>292</v>
      </c>
      <c r="D91" t="s">
        <v>49</v>
      </c>
      <c r="E91" t="s">
        <v>14</v>
      </c>
      <c r="F91">
        <v>5</v>
      </c>
      <c r="G91">
        <v>1526</v>
      </c>
      <c r="H91">
        <v>7630</v>
      </c>
      <c r="I91" t="s">
        <v>67</v>
      </c>
      <c r="J91" t="s">
        <v>16</v>
      </c>
      <c r="K91" t="str">
        <f>LEFT(Table15[[#This Row],[Customer_Name]],3)</f>
        <v>Cha</v>
      </c>
      <c r="L91" t="str">
        <f>RIGHT(Table15[[#This Row],[Customer_Name]],3)</f>
        <v>DVM</v>
      </c>
      <c r="M91" t="str">
        <f>MID(Table15[[#This Row],[Customer_Name]],4,3)</f>
        <v>rle</v>
      </c>
      <c r="N91">
        <f>LEN(Table15[[#This Row],[Customer_Name]])</f>
        <v>18</v>
      </c>
      <c r="O91" t="str">
        <f t="shared" si="1"/>
        <v>CharleDVM</v>
      </c>
      <c r="Q91" t="str">
        <f>UPPER(Table15[[#This Row],[Customer_Name]])</f>
        <v>CHARLES PHELPS DVM</v>
      </c>
      <c r="R91" t="str">
        <f>LOWER(Table15[[#This Row],[Customer_Name]])</f>
        <v>charles phelps dvm</v>
      </c>
      <c r="S91" t="str">
        <f>TRIM(Table15[[#This Row],[Payment_Method]])</f>
        <v>Card</v>
      </c>
      <c r="T91" t="str">
        <f>SUBSTITUTE(Table15[[#This Row],[Payment_Method]],"C","A")</f>
        <v>Aard</v>
      </c>
      <c r="U91" t="str">
        <f>REPLACE(Table15[[#This Row],[Order_ID]],2,3,"A")</f>
        <v>OA090</v>
      </c>
      <c r="V91">
        <f>FIND("a",Table15[[#This Row],[Product]])</f>
        <v>2</v>
      </c>
    </row>
    <row r="92" spans="1:22" x14ac:dyDescent="0.3">
      <c r="A92" t="s">
        <v>293</v>
      </c>
      <c r="B92" t="s">
        <v>294</v>
      </c>
      <c r="C92" t="s">
        <v>295</v>
      </c>
      <c r="D92" t="s">
        <v>20</v>
      </c>
      <c r="E92" t="s">
        <v>60</v>
      </c>
      <c r="F92">
        <v>4</v>
      </c>
      <c r="G92">
        <v>1236</v>
      </c>
      <c r="H92">
        <v>4944</v>
      </c>
      <c r="I92" t="s">
        <v>21</v>
      </c>
      <c r="J92" t="s">
        <v>16</v>
      </c>
      <c r="K92" t="str">
        <f>LEFT(Table15[[#This Row],[Customer_Name]],3)</f>
        <v>Jef</v>
      </c>
      <c r="L92" t="str">
        <f>RIGHT(Table15[[#This Row],[Customer_Name]],3)</f>
        <v>own</v>
      </c>
      <c r="M92" t="str">
        <f>MID(Table15[[#This Row],[Customer_Name]],4,3)</f>
        <v>fer</v>
      </c>
      <c r="N92">
        <f>LEN(Table15[[#This Row],[Customer_Name]])</f>
        <v>13</v>
      </c>
      <c r="O92" t="str">
        <f t="shared" si="1"/>
        <v>Jefferown</v>
      </c>
      <c r="Q92" t="str">
        <f>UPPER(Table15[[#This Row],[Customer_Name]])</f>
        <v>JEFFERY BROWN</v>
      </c>
      <c r="R92" t="str">
        <f>LOWER(Table15[[#This Row],[Customer_Name]])</f>
        <v>jeffery brown</v>
      </c>
      <c r="S92" t="str">
        <f>TRIM(Table15[[#This Row],[Payment_Method]])</f>
        <v>Card</v>
      </c>
      <c r="T92" t="str">
        <f>SUBSTITUTE(Table15[[#This Row],[Payment_Method]],"C","A")</f>
        <v>Aard</v>
      </c>
      <c r="U92" t="str">
        <f>REPLACE(Table15[[#This Row],[Order_ID]],2,3,"A")</f>
        <v>OA091</v>
      </c>
      <c r="V92">
        <f>FIND("a",Table15[[#This Row],[Product]])</f>
        <v>2</v>
      </c>
    </row>
    <row r="93" spans="1:22" x14ac:dyDescent="0.3">
      <c r="A93" t="s">
        <v>296</v>
      </c>
      <c r="B93" t="s">
        <v>297</v>
      </c>
      <c r="C93" t="s">
        <v>298</v>
      </c>
      <c r="D93" t="s">
        <v>49</v>
      </c>
      <c r="E93" t="s">
        <v>14</v>
      </c>
      <c r="F93">
        <v>7</v>
      </c>
      <c r="G93">
        <v>847</v>
      </c>
      <c r="H93">
        <v>5929</v>
      </c>
      <c r="I93" t="s">
        <v>53</v>
      </c>
      <c r="J93" t="s">
        <v>16</v>
      </c>
      <c r="K93" t="str">
        <f>LEFT(Table15[[#This Row],[Customer_Name]],3)</f>
        <v>Den</v>
      </c>
      <c r="L93" t="str">
        <f>RIGHT(Table15[[#This Row],[Customer_Name]],3)</f>
        <v>ith</v>
      </c>
      <c r="M93" t="str">
        <f>MID(Table15[[#This Row],[Customer_Name]],4,3)</f>
        <v>nis</v>
      </c>
      <c r="N93">
        <f>LEN(Table15[[#This Row],[Customer_Name]])</f>
        <v>12</v>
      </c>
      <c r="O93" t="str">
        <f t="shared" si="1"/>
        <v>Dennisith</v>
      </c>
      <c r="Q93" t="str">
        <f>UPPER(Table15[[#This Row],[Customer_Name]])</f>
        <v>DENNIS SMITH</v>
      </c>
      <c r="R93" t="str">
        <f>LOWER(Table15[[#This Row],[Customer_Name]])</f>
        <v>dennis smith</v>
      </c>
      <c r="S93" t="str">
        <f>TRIM(Table15[[#This Row],[Payment_Method]])</f>
        <v>Card</v>
      </c>
      <c r="T93" t="str">
        <f>SUBSTITUTE(Table15[[#This Row],[Payment_Method]],"C","A")</f>
        <v>Aard</v>
      </c>
      <c r="U93" t="str">
        <f>REPLACE(Table15[[#This Row],[Order_ID]],2,3,"A")</f>
        <v>OA092</v>
      </c>
      <c r="V93">
        <f>FIND("a",Table15[[#This Row],[Product]])</f>
        <v>2</v>
      </c>
    </row>
    <row r="94" spans="1:22" x14ac:dyDescent="0.3">
      <c r="A94" t="s">
        <v>299</v>
      </c>
      <c r="B94" t="s">
        <v>277</v>
      </c>
      <c r="C94" t="s">
        <v>300</v>
      </c>
      <c r="D94" t="s">
        <v>44</v>
      </c>
      <c r="E94" t="s">
        <v>60</v>
      </c>
      <c r="F94">
        <v>1</v>
      </c>
      <c r="G94">
        <v>273</v>
      </c>
      <c r="H94">
        <v>273</v>
      </c>
      <c r="I94" t="s">
        <v>35</v>
      </c>
      <c r="J94" t="s">
        <v>16</v>
      </c>
      <c r="K94" t="str">
        <f>LEFT(Table15[[#This Row],[Customer_Name]],3)</f>
        <v>Ale</v>
      </c>
      <c r="L94" t="str">
        <f>RIGHT(Table15[[#This Row],[Customer_Name]],3)</f>
        <v>ass</v>
      </c>
      <c r="M94" t="str">
        <f>MID(Table15[[#This Row],[Customer_Name]],4,3)</f>
        <v>x G</v>
      </c>
      <c r="N94">
        <f>LEN(Table15[[#This Row],[Customer_Name]])</f>
        <v>10</v>
      </c>
      <c r="O94" t="str">
        <f t="shared" si="1"/>
        <v>Alex Gass</v>
      </c>
      <c r="Q94" t="str">
        <f>UPPER(Table15[[#This Row],[Customer_Name]])</f>
        <v>ALEX GLASS</v>
      </c>
      <c r="R94" t="str">
        <f>LOWER(Table15[[#This Row],[Customer_Name]])</f>
        <v>alex glass</v>
      </c>
      <c r="S94" t="str">
        <f>TRIM(Table15[[#This Row],[Payment_Method]])</f>
        <v>Card</v>
      </c>
      <c r="T94" t="str">
        <f>SUBSTITUTE(Table15[[#This Row],[Payment_Method]],"C","A")</f>
        <v>Aard</v>
      </c>
      <c r="U94" t="str">
        <f>REPLACE(Table15[[#This Row],[Order_ID]],2,3,"A")</f>
        <v>OA093</v>
      </c>
      <c r="V94">
        <f>FIND("a",Table15[[#This Row],[Product]])</f>
        <v>2</v>
      </c>
    </row>
    <row r="95" spans="1:22" x14ac:dyDescent="0.3">
      <c r="A95" t="s">
        <v>301</v>
      </c>
      <c r="B95" t="s">
        <v>302</v>
      </c>
      <c r="C95" t="s">
        <v>303</v>
      </c>
      <c r="D95" t="s">
        <v>20</v>
      </c>
      <c r="E95" t="s">
        <v>26</v>
      </c>
      <c r="F95">
        <v>3</v>
      </c>
      <c r="G95">
        <v>1037</v>
      </c>
      <c r="H95">
        <v>3111</v>
      </c>
      <c r="I95" t="s">
        <v>21</v>
      </c>
      <c r="J95" t="s">
        <v>22</v>
      </c>
      <c r="K95" t="str">
        <f>LEFT(Table15[[#This Row],[Customer_Name]],3)</f>
        <v>Joh</v>
      </c>
      <c r="L95" t="str">
        <f>RIGHT(Table15[[#This Row],[Customer_Name]],3)</f>
        <v>lla</v>
      </c>
      <c r="M95" t="str">
        <f>MID(Table15[[#This Row],[Customer_Name]],4,3)</f>
        <v>nny</v>
      </c>
      <c r="N95">
        <f>LEN(Table15[[#This Row],[Customer_Name]])</f>
        <v>14</v>
      </c>
      <c r="O95" t="str">
        <f t="shared" si="1"/>
        <v>Johnnylla</v>
      </c>
      <c r="Q95" t="str">
        <f>UPPER(Table15[[#This Row],[Customer_Name]])</f>
        <v>JOHNNY PADILLA</v>
      </c>
      <c r="R95" t="str">
        <f>LOWER(Table15[[#This Row],[Customer_Name]])</f>
        <v>johnny padilla</v>
      </c>
      <c r="S95" t="str">
        <f>TRIM(Table15[[#This Row],[Payment_Method]])</f>
        <v>UPI</v>
      </c>
      <c r="T95" t="str">
        <f>SUBSTITUTE(Table15[[#This Row],[Payment_Method]],"C","A")</f>
        <v>UPI</v>
      </c>
      <c r="U95" t="str">
        <f>REPLACE(Table15[[#This Row],[Order_ID]],2,3,"A")</f>
        <v>OA094</v>
      </c>
      <c r="V95">
        <f>FIND("a",Table15[[#This Row],[Product]])</f>
        <v>3</v>
      </c>
    </row>
    <row r="96" spans="1:22" x14ac:dyDescent="0.3">
      <c r="A96" t="s">
        <v>304</v>
      </c>
      <c r="B96" t="s">
        <v>305</v>
      </c>
      <c r="C96" t="s">
        <v>306</v>
      </c>
      <c r="D96" t="s">
        <v>20</v>
      </c>
      <c r="E96" t="s">
        <v>31</v>
      </c>
      <c r="F96">
        <v>8</v>
      </c>
      <c r="G96">
        <v>1202</v>
      </c>
      <c r="H96">
        <v>9616</v>
      </c>
      <c r="I96" t="s">
        <v>67</v>
      </c>
      <c r="J96" t="s">
        <v>16</v>
      </c>
      <c r="K96" t="str">
        <f>LEFT(Table15[[#This Row],[Customer_Name]],3)</f>
        <v>Sco</v>
      </c>
      <c r="L96" t="str">
        <f>RIGHT(Table15[[#This Row],[Customer_Name]],3)</f>
        <v>lis</v>
      </c>
      <c r="M96" t="str">
        <f>MID(Table15[[#This Row],[Customer_Name]],4,3)</f>
        <v xml:space="preserve">tt </v>
      </c>
      <c r="N96">
        <f>LEN(Table15[[#This Row],[Customer_Name]])</f>
        <v>12</v>
      </c>
      <c r="O96" t="str">
        <f t="shared" si="1"/>
        <v>Scott lis</v>
      </c>
      <c r="Q96" t="str">
        <f>UPPER(Table15[[#This Row],[Customer_Name]])</f>
        <v>SCOTT WILLIS</v>
      </c>
      <c r="R96" t="str">
        <f>LOWER(Table15[[#This Row],[Customer_Name]])</f>
        <v>scott willis</v>
      </c>
      <c r="S96" t="str">
        <f>TRIM(Table15[[#This Row],[Payment_Method]])</f>
        <v>Card</v>
      </c>
      <c r="T96" t="str">
        <f>SUBSTITUTE(Table15[[#This Row],[Payment_Method]],"C","A")</f>
        <v>Aard</v>
      </c>
      <c r="U96" t="str">
        <f>REPLACE(Table15[[#This Row],[Order_ID]],2,3,"A")</f>
        <v>OA095</v>
      </c>
      <c r="V96">
        <f>FIND("a",Table15[[#This Row],[Product]])</f>
        <v>6</v>
      </c>
    </row>
    <row r="97" spans="1:22" x14ac:dyDescent="0.3">
      <c r="A97" t="s">
        <v>307</v>
      </c>
      <c r="B97" t="s">
        <v>308</v>
      </c>
      <c r="C97" t="s">
        <v>309</v>
      </c>
      <c r="D97" t="s">
        <v>44</v>
      </c>
      <c r="E97" t="s">
        <v>60</v>
      </c>
      <c r="F97">
        <v>8</v>
      </c>
      <c r="G97">
        <v>1361</v>
      </c>
      <c r="H97">
        <v>10888</v>
      </c>
      <c r="I97" t="s">
        <v>53</v>
      </c>
      <c r="J97" t="s">
        <v>16</v>
      </c>
      <c r="K97" t="str">
        <f>LEFT(Table15[[#This Row],[Customer_Name]],3)</f>
        <v>Den</v>
      </c>
      <c r="L97" t="str">
        <f>RIGHT(Table15[[#This Row],[Customer_Name]],3)</f>
        <v>rez</v>
      </c>
      <c r="M97" t="str">
        <f>MID(Table15[[#This Row],[Customer_Name]],4,3)</f>
        <v>ise</v>
      </c>
      <c r="N97">
        <f>LEN(Table15[[#This Row],[Customer_Name]])</f>
        <v>13</v>
      </c>
      <c r="O97" t="str">
        <f t="shared" si="1"/>
        <v>Deniserez</v>
      </c>
      <c r="Q97" t="str">
        <f>UPPER(Table15[[#This Row],[Customer_Name]])</f>
        <v>DENISE JUAREZ</v>
      </c>
      <c r="R97" t="str">
        <f>LOWER(Table15[[#This Row],[Customer_Name]])</f>
        <v>denise juarez</v>
      </c>
      <c r="S97" t="str">
        <f>TRIM(Table15[[#This Row],[Payment_Method]])</f>
        <v>Card</v>
      </c>
      <c r="T97" t="str">
        <f>SUBSTITUTE(Table15[[#This Row],[Payment_Method]],"C","A")</f>
        <v>Aard</v>
      </c>
      <c r="U97" t="str">
        <f>REPLACE(Table15[[#This Row],[Order_ID]],2,3,"A")</f>
        <v>OA096</v>
      </c>
      <c r="V97">
        <f>FIND("a",Table15[[#This Row],[Product]])</f>
        <v>2</v>
      </c>
    </row>
    <row r="98" spans="1:22" x14ac:dyDescent="0.3">
      <c r="A98" t="s">
        <v>310</v>
      </c>
      <c r="B98" t="s">
        <v>311</v>
      </c>
      <c r="C98" t="s">
        <v>312</v>
      </c>
      <c r="D98" t="s">
        <v>44</v>
      </c>
      <c r="E98" t="s">
        <v>26</v>
      </c>
      <c r="F98">
        <v>7</v>
      </c>
      <c r="G98">
        <v>251</v>
      </c>
      <c r="H98">
        <v>1757</v>
      </c>
      <c r="I98" t="s">
        <v>15</v>
      </c>
      <c r="J98" t="s">
        <v>40</v>
      </c>
      <c r="K98" t="str">
        <f>LEFT(Table15[[#This Row],[Customer_Name]],3)</f>
        <v>Jil</v>
      </c>
      <c r="L98" t="str">
        <f>RIGHT(Table15[[#This Row],[Customer_Name]],3)</f>
        <v>mes</v>
      </c>
      <c r="M98" t="str">
        <f>MID(Table15[[#This Row],[Customer_Name]],4,3)</f>
        <v>l J</v>
      </c>
      <c r="N98">
        <f>LEN(Table15[[#This Row],[Customer_Name]])</f>
        <v>10</v>
      </c>
      <c r="O98" t="str">
        <f t="shared" si="1"/>
        <v>Jill Jmes</v>
      </c>
      <c r="Q98" t="str">
        <f>UPPER(Table15[[#This Row],[Customer_Name]])</f>
        <v>JILL JAMES</v>
      </c>
      <c r="R98" t="str">
        <f>LOWER(Table15[[#This Row],[Customer_Name]])</f>
        <v>jill james</v>
      </c>
      <c r="S98" t="str">
        <f>TRIM(Table15[[#This Row],[Payment_Method]])</f>
        <v>Net Banking</v>
      </c>
      <c r="T98" t="str">
        <f>SUBSTITUTE(Table15[[#This Row],[Payment_Method]],"C","A")</f>
        <v>Net Banking</v>
      </c>
      <c r="U98" t="str">
        <f>REPLACE(Table15[[#This Row],[Order_ID]],2,3,"A")</f>
        <v>OA097</v>
      </c>
      <c r="V98">
        <f>FIND("a",Table15[[#This Row],[Product]])</f>
        <v>3</v>
      </c>
    </row>
    <row r="99" spans="1:22" x14ac:dyDescent="0.3">
      <c r="A99" t="s">
        <v>313</v>
      </c>
      <c r="B99" t="s">
        <v>314</v>
      </c>
      <c r="C99" t="s">
        <v>315</v>
      </c>
      <c r="D99" t="s">
        <v>49</v>
      </c>
      <c r="E99" t="s">
        <v>86</v>
      </c>
      <c r="F99">
        <v>1</v>
      </c>
      <c r="G99">
        <v>1131</v>
      </c>
      <c r="H99">
        <v>1131</v>
      </c>
      <c r="I99" t="s">
        <v>15</v>
      </c>
      <c r="J99" t="s">
        <v>40</v>
      </c>
      <c r="K99" t="str">
        <f>LEFT(Table15[[#This Row],[Customer_Name]],3)</f>
        <v>Tra</v>
      </c>
      <c r="L99" t="str">
        <f>RIGHT(Table15[[#This Row],[Customer_Name]],3)</f>
        <v>son</v>
      </c>
      <c r="M99" t="str">
        <f>MID(Table15[[#This Row],[Customer_Name]],4,3)</f>
        <v xml:space="preserve">cy </v>
      </c>
      <c r="N99">
        <f>LEN(Table15[[#This Row],[Customer_Name]])</f>
        <v>13</v>
      </c>
      <c r="O99" t="str">
        <f t="shared" si="1"/>
        <v>Tracy son</v>
      </c>
      <c r="Q99" t="str">
        <f>UPPER(Table15[[#This Row],[Customer_Name]])</f>
        <v>TRACY JOHNSON</v>
      </c>
      <c r="R99" t="str">
        <f>LOWER(Table15[[#This Row],[Customer_Name]])</f>
        <v>tracy johnson</v>
      </c>
      <c r="S99" t="str">
        <f>TRIM(Table15[[#This Row],[Payment_Method]])</f>
        <v>Net Banking</v>
      </c>
      <c r="T99" t="str">
        <f>SUBSTITUTE(Table15[[#This Row],[Payment_Method]],"C","A")</f>
        <v>Net Banking</v>
      </c>
      <c r="U99" t="str">
        <f>REPLACE(Table15[[#This Row],[Order_ID]],2,3,"A")</f>
        <v>OA098</v>
      </c>
      <c r="V99" t="e">
        <f>FIND("a",Table15[[#This Row],[Product]])</f>
        <v>#VALUE!</v>
      </c>
    </row>
    <row r="100" spans="1:22" x14ac:dyDescent="0.3">
      <c r="A100" t="s">
        <v>316</v>
      </c>
      <c r="B100" t="s">
        <v>317</v>
      </c>
      <c r="C100" t="s">
        <v>318</v>
      </c>
      <c r="D100" t="s">
        <v>49</v>
      </c>
      <c r="E100" t="s">
        <v>14</v>
      </c>
      <c r="F100">
        <v>6</v>
      </c>
      <c r="G100">
        <v>776</v>
      </c>
      <c r="H100">
        <v>4656</v>
      </c>
      <c r="I100" t="s">
        <v>53</v>
      </c>
      <c r="J100" t="s">
        <v>16</v>
      </c>
      <c r="K100" t="str">
        <f>LEFT(Table15[[#This Row],[Customer_Name]],3)</f>
        <v>Tho</v>
      </c>
      <c r="L100" t="str">
        <f>RIGHT(Table15[[#This Row],[Customer_Name]],3)</f>
        <v>ith</v>
      </c>
      <c r="M100" t="str">
        <f>MID(Table15[[#This Row],[Customer_Name]],4,3)</f>
        <v>mas</v>
      </c>
      <c r="N100">
        <f>LEN(Table15[[#This Row],[Customer_Name]])</f>
        <v>12</v>
      </c>
      <c r="O100" t="str">
        <f t="shared" si="1"/>
        <v>Thomasith</v>
      </c>
      <c r="Q100" t="str">
        <f>UPPER(Table15[[#This Row],[Customer_Name]])</f>
        <v>THOMAS SMITH</v>
      </c>
      <c r="R100" t="str">
        <f>LOWER(Table15[[#This Row],[Customer_Name]])</f>
        <v>thomas smith</v>
      </c>
      <c r="S100" t="str">
        <f>TRIM(Table15[[#This Row],[Payment_Method]])</f>
        <v>Card</v>
      </c>
      <c r="T100" t="str">
        <f>SUBSTITUTE(Table15[[#This Row],[Payment_Method]],"C","A")</f>
        <v>Aard</v>
      </c>
      <c r="U100" t="str">
        <f>REPLACE(Table15[[#This Row],[Order_ID]],2,3,"A")</f>
        <v>OA099</v>
      </c>
      <c r="V100">
        <f>FIND("a",Table15[[#This Row],[Product]])</f>
        <v>2</v>
      </c>
    </row>
    <row r="101" spans="1:22" x14ac:dyDescent="0.3">
      <c r="A101" t="s">
        <v>319</v>
      </c>
      <c r="B101" t="s">
        <v>320</v>
      </c>
      <c r="C101" t="s">
        <v>321</v>
      </c>
      <c r="D101" t="s">
        <v>13</v>
      </c>
      <c r="E101" t="s">
        <v>14</v>
      </c>
      <c r="F101">
        <v>2</v>
      </c>
      <c r="G101">
        <v>681</v>
      </c>
      <c r="H101">
        <v>1362</v>
      </c>
      <c r="I101" t="s">
        <v>67</v>
      </c>
      <c r="J101" t="s">
        <v>16</v>
      </c>
      <c r="K101" t="str">
        <f>LEFT(Table15[[#This Row],[Customer_Name]],3)</f>
        <v>Daw</v>
      </c>
      <c r="L101" t="str">
        <f>RIGHT(Table15[[#This Row],[Customer_Name]],3)</f>
        <v>nes</v>
      </c>
      <c r="M101" t="str">
        <f>MID(Table15[[#This Row],[Customer_Name]],4,3)</f>
        <v>n G</v>
      </c>
      <c r="N101">
        <f>LEN(Table15[[#This Row],[Customer_Name]])</f>
        <v>11</v>
      </c>
      <c r="O101" t="str">
        <f t="shared" si="1"/>
        <v>Dawn Gnes</v>
      </c>
      <c r="Q101" t="str">
        <f>UPPER(Table15[[#This Row],[Customer_Name]])</f>
        <v>DAWN GAINES</v>
      </c>
      <c r="R101" t="str">
        <f>LOWER(Table15[[#This Row],[Customer_Name]])</f>
        <v>dawn gaines</v>
      </c>
      <c r="S101" t="str">
        <f>TRIM(Table15[[#This Row],[Payment_Method]])</f>
        <v>Card</v>
      </c>
      <c r="T101" t="str">
        <f>SUBSTITUTE(Table15[[#This Row],[Payment_Method]],"C","A")</f>
        <v>Aard</v>
      </c>
      <c r="U101" t="str">
        <f>REPLACE(Table15[[#This Row],[Order_ID]],2,3,"A")</f>
        <v>OA100</v>
      </c>
      <c r="V101">
        <f>FIND("a",Table15[[#This Row],[Product]])</f>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D25EB-FF85-4356-B25B-D23B300A75DA}">
  <dimension ref="A1:B105"/>
  <sheetViews>
    <sheetView workbookViewId="0">
      <selection activeCell="B1" sqref="B1"/>
    </sheetView>
  </sheetViews>
  <sheetFormatPr defaultRowHeight="14.4" x14ac:dyDescent="0.3"/>
  <cols>
    <col min="1" max="1" width="20.5546875" bestFit="1" customWidth="1"/>
    <col min="2" max="2" width="14.88671875" bestFit="1" customWidth="1"/>
    <col min="3" max="3" width="24.44140625" bestFit="1" customWidth="1"/>
    <col min="4" max="5" width="4" bestFit="1" customWidth="1"/>
    <col min="6" max="85" width="5" bestFit="1" customWidth="1"/>
    <col min="86" max="100" width="6" bestFit="1" customWidth="1"/>
    <col min="101" max="102" width="10.77734375" bestFit="1" customWidth="1"/>
  </cols>
  <sheetData>
    <row r="1" spans="1:2" x14ac:dyDescent="0.3">
      <c r="A1" s="3" t="s">
        <v>3</v>
      </c>
      <c r="B1" t="s">
        <v>359</v>
      </c>
    </row>
    <row r="2" spans="1:2" x14ac:dyDescent="0.3">
      <c r="A2" s="3" t="s">
        <v>4</v>
      </c>
      <c r="B2" t="s">
        <v>359</v>
      </c>
    </row>
    <row r="4" spans="1:2" x14ac:dyDescent="0.3">
      <c r="A4" s="3" t="s">
        <v>357</v>
      </c>
      <c r="B4" t="s">
        <v>360</v>
      </c>
    </row>
    <row r="5" spans="1:2" x14ac:dyDescent="0.3">
      <c r="A5" s="4" t="s">
        <v>300</v>
      </c>
      <c r="B5">
        <v>273</v>
      </c>
    </row>
    <row r="6" spans="1:2" x14ac:dyDescent="0.3">
      <c r="A6" s="4" t="s">
        <v>121</v>
      </c>
      <c r="B6">
        <v>2380</v>
      </c>
    </row>
    <row r="7" spans="1:2" x14ac:dyDescent="0.3">
      <c r="A7" s="4" t="s">
        <v>244</v>
      </c>
      <c r="B7">
        <v>5424</v>
      </c>
    </row>
    <row r="8" spans="1:2" x14ac:dyDescent="0.3">
      <c r="A8" s="4" t="s">
        <v>273</v>
      </c>
      <c r="B8">
        <v>1993</v>
      </c>
    </row>
    <row r="9" spans="1:2" x14ac:dyDescent="0.3">
      <c r="A9" s="4" t="s">
        <v>168</v>
      </c>
      <c r="B9">
        <v>1316</v>
      </c>
    </row>
    <row r="10" spans="1:2" x14ac:dyDescent="0.3">
      <c r="A10" s="4" t="s">
        <v>253</v>
      </c>
      <c r="B10">
        <v>10794</v>
      </c>
    </row>
    <row r="11" spans="1:2" x14ac:dyDescent="0.3">
      <c r="A11" s="4" t="s">
        <v>118</v>
      </c>
      <c r="B11">
        <v>5835</v>
      </c>
    </row>
    <row r="12" spans="1:2" x14ac:dyDescent="0.3">
      <c r="A12" s="4" t="s">
        <v>165</v>
      </c>
      <c r="B12">
        <v>3692</v>
      </c>
    </row>
    <row r="13" spans="1:2" x14ac:dyDescent="0.3">
      <c r="A13" s="4" t="s">
        <v>170</v>
      </c>
      <c r="B13">
        <v>10773</v>
      </c>
    </row>
    <row r="14" spans="1:2" x14ac:dyDescent="0.3">
      <c r="A14" s="4" t="s">
        <v>185</v>
      </c>
      <c r="B14">
        <v>2860</v>
      </c>
    </row>
    <row r="15" spans="1:2" x14ac:dyDescent="0.3">
      <c r="A15" s="4" t="s">
        <v>211</v>
      </c>
      <c r="B15">
        <v>17937</v>
      </c>
    </row>
    <row r="16" spans="1:2" x14ac:dyDescent="0.3">
      <c r="A16" s="4" t="s">
        <v>261</v>
      </c>
      <c r="B16">
        <v>3577</v>
      </c>
    </row>
    <row r="17" spans="1:2" x14ac:dyDescent="0.3">
      <c r="A17" s="4" t="s">
        <v>159</v>
      </c>
      <c r="B17">
        <v>10896</v>
      </c>
    </row>
    <row r="18" spans="1:2" x14ac:dyDescent="0.3">
      <c r="A18" s="4" t="s">
        <v>223</v>
      </c>
      <c r="B18">
        <v>4848</v>
      </c>
    </row>
    <row r="19" spans="1:2" x14ac:dyDescent="0.3">
      <c r="A19" s="4" t="s">
        <v>188</v>
      </c>
      <c r="B19">
        <v>1375</v>
      </c>
    </row>
    <row r="20" spans="1:2" x14ac:dyDescent="0.3">
      <c r="A20" s="4" t="s">
        <v>56</v>
      </c>
      <c r="B20">
        <v>8856</v>
      </c>
    </row>
    <row r="21" spans="1:2" x14ac:dyDescent="0.3">
      <c r="A21" s="4" t="s">
        <v>290</v>
      </c>
      <c r="B21">
        <v>6512</v>
      </c>
    </row>
    <row r="22" spans="1:2" x14ac:dyDescent="0.3">
      <c r="A22" s="4" t="s">
        <v>292</v>
      </c>
      <c r="B22">
        <v>7630</v>
      </c>
    </row>
    <row r="23" spans="1:2" x14ac:dyDescent="0.3">
      <c r="A23" s="4" t="s">
        <v>79</v>
      </c>
      <c r="B23">
        <v>18780</v>
      </c>
    </row>
    <row r="24" spans="1:2" x14ac:dyDescent="0.3">
      <c r="A24" s="4" t="s">
        <v>92</v>
      </c>
      <c r="B24">
        <v>10584</v>
      </c>
    </row>
    <row r="25" spans="1:2" x14ac:dyDescent="0.3">
      <c r="A25" s="4" t="s">
        <v>85</v>
      </c>
      <c r="B25">
        <v>8289</v>
      </c>
    </row>
    <row r="26" spans="1:2" x14ac:dyDescent="0.3">
      <c r="A26" s="4" t="s">
        <v>199</v>
      </c>
      <c r="B26">
        <v>5565</v>
      </c>
    </row>
    <row r="27" spans="1:2" x14ac:dyDescent="0.3">
      <c r="A27" s="4" t="s">
        <v>109</v>
      </c>
      <c r="B27">
        <v>2037</v>
      </c>
    </row>
    <row r="28" spans="1:2" x14ac:dyDescent="0.3">
      <c r="A28" s="4" t="s">
        <v>287</v>
      </c>
      <c r="B28">
        <v>11784</v>
      </c>
    </row>
    <row r="29" spans="1:2" x14ac:dyDescent="0.3">
      <c r="A29" s="4" t="s">
        <v>321</v>
      </c>
      <c r="B29">
        <v>1362</v>
      </c>
    </row>
    <row r="30" spans="1:2" x14ac:dyDescent="0.3">
      <c r="A30" s="4" t="s">
        <v>309</v>
      </c>
      <c r="B30">
        <v>10888</v>
      </c>
    </row>
    <row r="31" spans="1:2" x14ac:dyDescent="0.3">
      <c r="A31" s="4" t="s">
        <v>298</v>
      </c>
      <c r="B31">
        <v>5929</v>
      </c>
    </row>
    <row r="32" spans="1:2" x14ac:dyDescent="0.3">
      <c r="A32" s="4" t="s">
        <v>217</v>
      </c>
      <c r="B32">
        <v>2708</v>
      </c>
    </row>
    <row r="33" spans="1:2" x14ac:dyDescent="0.3">
      <c r="A33" s="4" t="s">
        <v>191</v>
      </c>
      <c r="B33">
        <v>3987</v>
      </c>
    </row>
    <row r="34" spans="1:2" x14ac:dyDescent="0.3">
      <c r="A34" s="4" t="s">
        <v>232</v>
      </c>
      <c r="B34">
        <v>2884</v>
      </c>
    </row>
    <row r="35" spans="1:2" x14ac:dyDescent="0.3">
      <c r="A35" s="4" t="s">
        <v>25</v>
      </c>
      <c r="B35">
        <v>5754</v>
      </c>
    </row>
    <row r="36" spans="1:2" x14ac:dyDescent="0.3">
      <c r="A36" s="4" t="s">
        <v>19</v>
      </c>
      <c r="B36">
        <v>7176</v>
      </c>
    </row>
    <row r="37" spans="1:2" x14ac:dyDescent="0.3">
      <c r="A37" s="4" t="s">
        <v>12</v>
      </c>
      <c r="B37">
        <v>7680</v>
      </c>
    </row>
    <row r="38" spans="1:2" x14ac:dyDescent="0.3">
      <c r="A38" s="4" t="s">
        <v>173</v>
      </c>
      <c r="B38">
        <v>184</v>
      </c>
    </row>
    <row r="39" spans="1:2" x14ac:dyDescent="0.3">
      <c r="A39" s="4" t="s">
        <v>226</v>
      </c>
      <c r="B39">
        <v>1904</v>
      </c>
    </row>
    <row r="40" spans="1:2" x14ac:dyDescent="0.3">
      <c r="A40" s="4" t="s">
        <v>241</v>
      </c>
      <c r="B40">
        <v>3620</v>
      </c>
    </row>
    <row r="41" spans="1:2" x14ac:dyDescent="0.3">
      <c r="A41" s="4" t="s">
        <v>238</v>
      </c>
      <c r="B41">
        <v>9900</v>
      </c>
    </row>
    <row r="42" spans="1:2" x14ac:dyDescent="0.3">
      <c r="A42" s="4" t="s">
        <v>94</v>
      </c>
      <c r="B42">
        <v>8650</v>
      </c>
    </row>
    <row r="43" spans="1:2" x14ac:dyDescent="0.3">
      <c r="A43" s="4" t="s">
        <v>70</v>
      </c>
      <c r="B43">
        <v>1141</v>
      </c>
    </row>
    <row r="44" spans="1:2" x14ac:dyDescent="0.3">
      <c r="A44" s="4" t="s">
        <v>142</v>
      </c>
      <c r="B44">
        <v>2120</v>
      </c>
    </row>
    <row r="45" spans="1:2" x14ac:dyDescent="0.3">
      <c r="A45" s="4" t="s">
        <v>229</v>
      </c>
      <c r="B45">
        <v>4470</v>
      </c>
    </row>
    <row r="46" spans="1:2" x14ac:dyDescent="0.3">
      <c r="A46" s="4" t="s">
        <v>295</v>
      </c>
      <c r="B46">
        <v>4944</v>
      </c>
    </row>
    <row r="47" spans="1:2" x14ac:dyDescent="0.3">
      <c r="A47" s="4" t="s">
        <v>267</v>
      </c>
      <c r="B47">
        <v>475</v>
      </c>
    </row>
    <row r="48" spans="1:2" x14ac:dyDescent="0.3">
      <c r="A48" s="4" t="s">
        <v>214</v>
      </c>
      <c r="B48">
        <v>2093</v>
      </c>
    </row>
    <row r="49" spans="1:2" x14ac:dyDescent="0.3">
      <c r="A49" s="4" t="s">
        <v>250</v>
      </c>
      <c r="B49">
        <v>3897</v>
      </c>
    </row>
    <row r="50" spans="1:2" x14ac:dyDescent="0.3">
      <c r="A50" s="4" t="s">
        <v>312</v>
      </c>
      <c r="B50">
        <v>1757</v>
      </c>
    </row>
    <row r="51" spans="1:2" x14ac:dyDescent="0.3">
      <c r="A51" s="4" t="s">
        <v>156</v>
      </c>
      <c r="B51">
        <v>1587</v>
      </c>
    </row>
    <row r="52" spans="1:2" x14ac:dyDescent="0.3">
      <c r="A52" s="4" t="s">
        <v>196</v>
      </c>
      <c r="B52">
        <v>2802</v>
      </c>
    </row>
    <row r="53" spans="1:2" x14ac:dyDescent="0.3">
      <c r="A53" s="4" t="s">
        <v>303</v>
      </c>
      <c r="B53">
        <v>3111</v>
      </c>
    </row>
    <row r="54" spans="1:2" x14ac:dyDescent="0.3">
      <c r="A54" s="4" t="s">
        <v>202</v>
      </c>
      <c r="B54">
        <v>3080</v>
      </c>
    </row>
    <row r="55" spans="1:2" x14ac:dyDescent="0.3">
      <c r="A55" s="4" t="s">
        <v>139</v>
      </c>
      <c r="B55">
        <v>2304</v>
      </c>
    </row>
    <row r="56" spans="1:2" x14ac:dyDescent="0.3">
      <c r="A56" s="4" t="s">
        <v>52</v>
      </c>
      <c r="B56">
        <v>1198</v>
      </c>
    </row>
    <row r="57" spans="1:2" x14ac:dyDescent="0.3">
      <c r="A57" s="4" t="s">
        <v>275</v>
      </c>
      <c r="B57">
        <v>2849</v>
      </c>
    </row>
    <row r="58" spans="1:2" x14ac:dyDescent="0.3">
      <c r="A58" s="4" t="s">
        <v>208</v>
      </c>
      <c r="B58">
        <v>5732</v>
      </c>
    </row>
    <row r="59" spans="1:2" x14ac:dyDescent="0.3">
      <c r="A59" s="4" t="s">
        <v>34</v>
      </c>
      <c r="B59">
        <v>3912</v>
      </c>
    </row>
    <row r="60" spans="1:2" x14ac:dyDescent="0.3">
      <c r="A60" s="4" t="s">
        <v>100</v>
      </c>
      <c r="B60">
        <v>6216</v>
      </c>
    </row>
    <row r="61" spans="1:2" x14ac:dyDescent="0.3">
      <c r="A61" s="4" t="s">
        <v>115</v>
      </c>
      <c r="B61">
        <v>2394</v>
      </c>
    </row>
    <row r="62" spans="1:2" x14ac:dyDescent="0.3">
      <c r="A62" s="4" t="s">
        <v>97</v>
      </c>
      <c r="B62">
        <v>5885</v>
      </c>
    </row>
    <row r="63" spans="1:2" x14ac:dyDescent="0.3">
      <c r="A63" s="4" t="s">
        <v>136</v>
      </c>
      <c r="B63">
        <v>3062</v>
      </c>
    </row>
    <row r="64" spans="1:2" x14ac:dyDescent="0.3">
      <c r="A64" s="4" t="s">
        <v>220</v>
      </c>
      <c r="B64">
        <v>6140</v>
      </c>
    </row>
    <row r="65" spans="1:2" x14ac:dyDescent="0.3">
      <c r="A65" s="4" t="s">
        <v>63</v>
      </c>
      <c r="B65">
        <v>3390</v>
      </c>
    </row>
    <row r="66" spans="1:2" x14ac:dyDescent="0.3">
      <c r="A66" s="4" t="s">
        <v>112</v>
      </c>
      <c r="B66">
        <v>19600</v>
      </c>
    </row>
    <row r="67" spans="1:2" x14ac:dyDescent="0.3">
      <c r="A67" s="4" t="s">
        <v>66</v>
      </c>
      <c r="B67">
        <v>7232</v>
      </c>
    </row>
    <row r="68" spans="1:2" x14ac:dyDescent="0.3">
      <c r="A68" s="4" t="s">
        <v>59</v>
      </c>
      <c r="B68">
        <v>6655</v>
      </c>
    </row>
    <row r="69" spans="1:2" x14ac:dyDescent="0.3">
      <c r="A69" s="4" t="s">
        <v>106</v>
      </c>
      <c r="B69">
        <v>3556</v>
      </c>
    </row>
    <row r="70" spans="1:2" x14ac:dyDescent="0.3">
      <c r="A70" s="4" t="s">
        <v>153</v>
      </c>
      <c r="B70">
        <v>12546</v>
      </c>
    </row>
    <row r="71" spans="1:2" x14ac:dyDescent="0.3">
      <c r="A71" s="4" t="s">
        <v>162</v>
      </c>
      <c r="B71">
        <v>6260</v>
      </c>
    </row>
    <row r="72" spans="1:2" x14ac:dyDescent="0.3">
      <c r="A72" s="4" t="s">
        <v>148</v>
      </c>
      <c r="B72">
        <v>5772</v>
      </c>
    </row>
    <row r="73" spans="1:2" x14ac:dyDescent="0.3">
      <c r="A73" s="4" t="s">
        <v>278</v>
      </c>
      <c r="B73">
        <v>1799</v>
      </c>
    </row>
    <row r="74" spans="1:2" x14ac:dyDescent="0.3">
      <c r="A74" s="4" t="s">
        <v>256</v>
      </c>
      <c r="B74">
        <v>1596</v>
      </c>
    </row>
    <row r="75" spans="1:2" x14ac:dyDescent="0.3">
      <c r="A75" s="4" t="s">
        <v>205</v>
      </c>
      <c r="B75">
        <v>10178</v>
      </c>
    </row>
    <row r="76" spans="1:2" x14ac:dyDescent="0.3">
      <c r="A76" s="4" t="s">
        <v>133</v>
      </c>
      <c r="B76">
        <v>2968</v>
      </c>
    </row>
    <row r="77" spans="1:2" x14ac:dyDescent="0.3">
      <c r="A77" s="4" t="s">
        <v>103</v>
      </c>
      <c r="B77">
        <v>1875</v>
      </c>
    </row>
    <row r="78" spans="1:2" x14ac:dyDescent="0.3">
      <c r="A78" s="4" t="s">
        <v>48</v>
      </c>
      <c r="B78">
        <v>7736</v>
      </c>
    </row>
    <row r="79" spans="1:2" x14ac:dyDescent="0.3">
      <c r="A79" s="4" t="s">
        <v>73</v>
      </c>
      <c r="B79">
        <v>8598</v>
      </c>
    </row>
    <row r="80" spans="1:2" x14ac:dyDescent="0.3">
      <c r="A80" s="4" t="s">
        <v>124</v>
      </c>
      <c r="B80">
        <v>4443</v>
      </c>
    </row>
    <row r="81" spans="1:2" x14ac:dyDescent="0.3">
      <c r="A81" s="4" t="s">
        <v>127</v>
      </c>
      <c r="B81">
        <v>18400</v>
      </c>
    </row>
    <row r="82" spans="1:2" x14ac:dyDescent="0.3">
      <c r="A82" s="4" t="s">
        <v>89</v>
      </c>
      <c r="B82">
        <v>3240</v>
      </c>
    </row>
    <row r="83" spans="1:2" x14ac:dyDescent="0.3">
      <c r="A83" s="4" t="s">
        <v>270</v>
      </c>
      <c r="B83">
        <v>10230</v>
      </c>
    </row>
    <row r="84" spans="1:2" x14ac:dyDescent="0.3">
      <c r="A84" s="4" t="s">
        <v>284</v>
      </c>
      <c r="B84">
        <v>1765</v>
      </c>
    </row>
    <row r="85" spans="1:2" x14ac:dyDescent="0.3">
      <c r="A85" s="4" t="s">
        <v>247</v>
      </c>
      <c r="B85">
        <v>1464</v>
      </c>
    </row>
    <row r="86" spans="1:2" x14ac:dyDescent="0.3">
      <c r="A86" s="4" t="s">
        <v>30</v>
      </c>
      <c r="B86">
        <v>10650</v>
      </c>
    </row>
    <row r="87" spans="1:2" x14ac:dyDescent="0.3">
      <c r="A87" s="4" t="s">
        <v>82</v>
      </c>
      <c r="B87">
        <v>9927</v>
      </c>
    </row>
    <row r="88" spans="1:2" x14ac:dyDescent="0.3">
      <c r="A88" s="4" t="s">
        <v>151</v>
      </c>
      <c r="B88">
        <v>5790</v>
      </c>
    </row>
    <row r="89" spans="1:2" x14ac:dyDescent="0.3">
      <c r="A89" s="4" t="s">
        <v>145</v>
      </c>
      <c r="B89">
        <v>4518</v>
      </c>
    </row>
    <row r="90" spans="1:2" x14ac:dyDescent="0.3">
      <c r="A90" s="4" t="s">
        <v>38</v>
      </c>
      <c r="B90">
        <v>5495</v>
      </c>
    </row>
    <row r="91" spans="1:2" x14ac:dyDescent="0.3">
      <c r="A91" s="4" t="s">
        <v>235</v>
      </c>
      <c r="B91">
        <v>7656</v>
      </c>
    </row>
    <row r="92" spans="1:2" x14ac:dyDescent="0.3">
      <c r="A92" s="4" t="s">
        <v>264</v>
      </c>
      <c r="B92">
        <v>764</v>
      </c>
    </row>
    <row r="93" spans="1:2" x14ac:dyDescent="0.3">
      <c r="A93" s="4" t="s">
        <v>182</v>
      </c>
      <c r="B93">
        <v>2428</v>
      </c>
    </row>
    <row r="94" spans="1:2" x14ac:dyDescent="0.3">
      <c r="A94" s="4" t="s">
        <v>193</v>
      </c>
      <c r="B94">
        <v>6344</v>
      </c>
    </row>
    <row r="95" spans="1:2" x14ac:dyDescent="0.3">
      <c r="A95" s="4" t="s">
        <v>306</v>
      </c>
      <c r="B95">
        <v>9616</v>
      </c>
    </row>
    <row r="96" spans="1:2" x14ac:dyDescent="0.3">
      <c r="A96" s="4" t="s">
        <v>176</v>
      </c>
      <c r="B96">
        <v>8808</v>
      </c>
    </row>
    <row r="97" spans="1:2" x14ac:dyDescent="0.3">
      <c r="A97" s="4" t="s">
        <v>43</v>
      </c>
      <c r="B97">
        <v>1896</v>
      </c>
    </row>
    <row r="98" spans="1:2" x14ac:dyDescent="0.3">
      <c r="A98" s="4" t="s">
        <v>179</v>
      </c>
      <c r="B98">
        <v>3216</v>
      </c>
    </row>
    <row r="99" spans="1:2" x14ac:dyDescent="0.3">
      <c r="A99" s="4" t="s">
        <v>281</v>
      </c>
      <c r="B99">
        <v>2860</v>
      </c>
    </row>
    <row r="100" spans="1:2" x14ac:dyDescent="0.3">
      <c r="A100" s="4" t="s">
        <v>318</v>
      </c>
      <c r="B100">
        <v>4656</v>
      </c>
    </row>
    <row r="101" spans="1:2" x14ac:dyDescent="0.3">
      <c r="A101" s="4" t="s">
        <v>315</v>
      </c>
      <c r="B101">
        <v>1131</v>
      </c>
    </row>
    <row r="102" spans="1:2" x14ac:dyDescent="0.3">
      <c r="A102" s="4" t="s">
        <v>130</v>
      </c>
      <c r="B102">
        <v>1140</v>
      </c>
    </row>
    <row r="103" spans="1:2" x14ac:dyDescent="0.3">
      <c r="A103" s="4" t="s">
        <v>258</v>
      </c>
      <c r="B103">
        <v>10218</v>
      </c>
    </row>
    <row r="104" spans="1:2" x14ac:dyDescent="0.3">
      <c r="A104" s="4" t="s">
        <v>76</v>
      </c>
      <c r="B104">
        <v>1766</v>
      </c>
    </row>
    <row r="105" spans="1:2" x14ac:dyDescent="0.3">
      <c r="A105" s="4" t="s">
        <v>358</v>
      </c>
      <c r="B105">
        <v>545987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2C657-AA56-4B7F-9570-308CC50D6B7E}">
  <dimension ref="A1:L101"/>
  <sheetViews>
    <sheetView topLeftCell="B1" workbookViewId="0">
      <selection activeCell="M13" sqref="M13"/>
    </sheetView>
  </sheetViews>
  <sheetFormatPr defaultRowHeight="14.4" x14ac:dyDescent="0.3"/>
  <cols>
    <col min="1" max="1" width="13" bestFit="1" customWidth="1"/>
    <col min="2" max="2" width="15.109375" bestFit="1" customWidth="1"/>
    <col min="3" max="3" width="20.5546875" bestFit="1" customWidth="1"/>
    <col min="4" max="4" width="11.21875" bestFit="1" customWidth="1"/>
    <col min="5" max="5" width="12.109375" bestFit="1" customWidth="1"/>
    <col min="6" max="6" width="12.77734375" bestFit="1" customWidth="1"/>
    <col min="7" max="7" width="14.109375" bestFit="1" customWidth="1"/>
    <col min="8" max="8" width="12.77734375" bestFit="1" customWidth="1"/>
    <col min="9" max="9" width="15.44140625" bestFit="1" customWidth="1"/>
    <col min="10" max="10" width="20.88671875" bestFit="1" customWidth="1"/>
    <col min="12" max="12" width="14.44140625" bestFit="1" customWidth="1"/>
  </cols>
  <sheetData>
    <row r="1" spans="1:12" x14ac:dyDescent="0.3">
      <c r="A1" s="1" t="s">
        <v>0</v>
      </c>
      <c r="B1" s="1" t="s">
        <v>1</v>
      </c>
      <c r="C1" s="1" t="s">
        <v>2</v>
      </c>
      <c r="D1" s="1" t="s">
        <v>3</v>
      </c>
      <c r="E1" s="1" t="s">
        <v>4</v>
      </c>
      <c r="F1" s="1" t="s">
        <v>5</v>
      </c>
      <c r="G1" s="1" t="s">
        <v>6</v>
      </c>
      <c r="H1" s="1" t="s">
        <v>7</v>
      </c>
      <c r="I1" s="1" t="s">
        <v>8</v>
      </c>
      <c r="J1" s="1" t="s">
        <v>9</v>
      </c>
      <c r="L1" t="s">
        <v>361</v>
      </c>
    </row>
    <row r="2" spans="1:12" x14ac:dyDescent="0.3">
      <c r="A2" t="s">
        <v>10</v>
      </c>
      <c r="B2" t="s">
        <v>11</v>
      </c>
      <c r="C2" t="s">
        <v>12</v>
      </c>
      <c r="D2" t="s">
        <v>13</v>
      </c>
      <c r="E2" t="s">
        <v>14</v>
      </c>
      <c r="F2">
        <v>8</v>
      </c>
      <c r="G2">
        <v>960</v>
      </c>
      <c r="H2">
        <v>7680</v>
      </c>
      <c r="I2" t="s">
        <v>15</v>
      </c>
      <c r="J2" t="s">
        <v>16</v>
      </c>
      <c r="L2" t="str">
        <f>IF(Table17[[#This Row],[Revenue]]&gt;7000,"VIP Customer","Customer")</f>
        <v>VIP Customer</v>
      </c>
    </row>
    <row r="3" spans="1:12" x14ac:dyDescent="0.3">
      <c r="A3" t="s">
        <v>17</v>
      </c>
      <c r="B3" t="s">
        <v>18</v>
      </c>
      <c r="C3" t="s">
        <v>19</v>
      </c>
      <c r="D3" t="s">
        <v>20</v>
      </c>
      <c r="E3" t="s">
        <v>14</v>
      </c>
      <c r="F3">
        <v>8</v>
      </c>
      <c r="G3">
        <v>897</v>
      </c>
      <c r="H3">
        <v>7176</v>
      </c>
      <c r="I3" t="s">
        <v>21</v>
      </c>
      <c r="J3" t="s">
        <v>22</v>
      </c>
      <c r="L3" t="str">
        <f>IF(Table17[[#This Row],[Revenue]]&gt;7000,"VIP Customer","Customer")</f>
        <v>VIP Customer</v>
      </c>
    </row>
    <row r="4" spans="1:12" x14ac:dyDescent="0.3">
      <c r="A4" t="s">
        <v>23</v>
      </c>
      <c r="B4" t="s">
        <v>24</v>
      </c>
      <c r="C4" t="s">
        <v>25</v>
      </c>
      <c r="D4" t="s">
        <v>13</v>
      </c>
      <c r="E4" t="s">
        <v>26</v>
      </c>
      <c r="F4">
        <v>6</v>
      </c>
      <c r="G4">
        <v>959</v>
      </c>
      <c r="H4">
        <v>5754</v>
      </c>
      <c r="I4" t="s">
        <v>21</v>
      </c>
      <c r="J4" t="s">
        <v>27</v>
      </c>
      <c r="L4" t="str">
        <f>IF(Table17[[#This Row],[Revenue]]&gt;7000,"VIP Customer","Customer")</f>
        <v>Customer</v>
      </c>
    </row>
    <row r="5" spans="1:12" x14ac:dyDescent="0.3">
      <c r="A5" t="s">
        <v>28</v>
      </c>
      <c r="B5" t="s">
        <v>29</v>
      </c>
      <c r="C5" t="s">
        <v>30</v>
      </c>
      <c r="D5" t="s">
        <v>13</v>
      </c>
      <c r="E5" t="s">
        <v>31</v>
      </c>
      <c r="F5">
        <v>10</v>
      </c>
      <c r="G5">
        <v>1065</v>
      </c>
      <c r="H5">
        <v>10650</v>
      </c>
      <c r="I5" t="s">
        <v>21</v>
      </c>
      <c r="J5" t="s">
        <v>27</v>
      </c>
      <c r="L5" t="str">
        <f>IF(Table17[[#This Row],[Revenue]]&gt;7000,"VIP Customer","Customer")</f>
        <v>VIP Customer</v>
      </c>
    </row>
    <row r="6" spans="1:12" x14ac:dyDescent="0.3">
      <c r="A6" t="s">
        <v>32</v>
      </c>
      <c r="B6" t="s">
        <v>33</v>
      </c>
      <c r="C6" t="s">
        <v>34</v>
      </c>
      <c r="D6" t="s">
        <v>20</v>
      </c>
      <c r="E6" t="s">
        <v>31</v>
      </c>
      <c r="F6">
        <v>4</v>
      </c>
      <c r="G6">
        <v>978</v>
      </c>
      <c r="H6">
        <v>3912</v>
      </c>
      <c r="I6" t="s">
        <v>35</v>
      </c>
      <c r="J6" t="s">
        <v>16</v>
      </c>
      <c r="L6" t="str">
        <f>IF(Table17[[#This Row],[Revenue]]&gt;7000,"VIP Customer","Customer")</f>
        <v>Customer</v>
      </c>
    </row>
    <row r="7" spans="1:12" x14ac:dyDescent="0.3">
      <c r="A7" t="s">
        <v>36</v>
      </c>
      <c r="B7" t="s">
        <v>37</v>
      </c>
      <c r="C7" t="s">
        <v>38</v>
      </c>
      <c r="D7" t="s">
        <v>20</v>
      </c>
      <c r="E7" t="s">
        <v>14</v>
      </c>
      <c r="F7">
        <v>7</v>
      </c>
      <c r="G7">
        <v>785</v>
      </c>
      <c r="H7">
        <v>5495</v>
      </c>
      <c r="I7" t="s">
        <v>39</v>
      </c>
      <c r="J7" t="s">
        <v>40</v>
      </c>
      <c r="L7" t="str">
        <f>IF(Table17[[#This Row],[Revenue]]&gt;7000,"VIP Customer","Customer")</f>
        <v>Customer</v>
      </c>
    </row>
    <row r="8" spans="1:12" x14ac:dyDescent="0.3">
      <c r="A8" t="s">
        <v>41</v>
      </c>
      <c r="B8" t="s">
        <v>42</v>
      </c>
      <c r="C8" t="s">
        <v>43</v>
      </c>
      <c r="D8" t="s">
        <v>44</v>
      </c>
      <c r="E8" t="s">
        <v>45</v>
      </c>
      <c r="F8">
        <v>4</v>
      </c>
      <c r="G8">
        <v>474</v>
      </c>
      <c r="H8">
        <v>1896</v>
      </c>
      <c r="I8" t="s">
        <v>15</v>
      </c>
      <c r="J8" t="s">
        <v>16</v>
      </c>
      <c r="L8" t="str">
        <f>IF(Table17[[#This Row],[Revenue]]&gt;7000,"VIP Customer","Customer")</f>
        <v>Customer</v>
      </c>
    </row>
    <row r="9" spans="1:12" x14ac:dyDescent="0.3">
      <c r="A9" t="s">
        <v>46</v>
      </c>
      <c r="B9" t="s">
        <v>47</v>
      </c>
      <c r="C9" t="s">
        <v>48</v>
      </c>
      <c r="D9" t="s">
        <v>49</v>
      </c>
      <c r="E9" t="s">
        <v>14</v>
      </c>
      <c r="F9">
        <v>4</v>
      </c>
      <c r="G9">
        <v>1934</v>
      </c>
      <c r="H9">
        <v>7736</v>
      </c>
      <c r="I9" t="s">
        <v>15</v>
      </c>
      <c r="J9" t="s">
        <v>40</v>
      </c>
      <c r="L9" t="str">
        <f>IF(Table17[[#This Row],[Revenue]]&gt;7000,"VIP Customer","Customer")</f>
        <v>VIP Customer</v>
      </c>
    </row>
    <row r="10" spans="1:12" x14ac:dyDescent="0.3">
      <c r="A10" t="s">
        <v>50</v>
      </c>
      <c r="B10" t="s">
        <v>51</v>
      </c>
      <c r="C10" t="s">
        <v>52</v>
      </c>
      <c r="D10" t="s">
        <v>49</v>
      </c>
      <c r="E10" t="s">
        <v>31</v>
      </c>
      <c r="F10">
        <v>2</v>
      </c>
      <c r="G10">
        <v>599</v>
      </c>
      <c r="H10">
        <v>1198</v>
      </c>
      <c r="I10" t="s">
        <v>53</v>
      </c>
      <c r="J10" t="s">
        <v>27</v>
      </c>
      <c r="L10" t="str">
        <f>IF(Table17[[#This Row],[Revenue]]&gt;7000,"VIP Customer","Customer")</f>
        <v>Customer</v>
      </c>
    </row>
    <row r="11" spans="1:12" x14ac:dyDescent="0.3">
      <c r="A11" t="s">
        <v>54</v>
      </c>
      <c r="B11" t="s">
        <v>55</v>
      </c>
      <c r="C11" t="s">
        <v>56</v>
      </c>
      <c r="D11" t="s">
        <v>20</v>
      </c>
      <c r="E11" t="s">
        <v>31</v>
      </c>
      <c r="F11">
        <v>6</v>
      </c>
      <c r="G11">
        <v>1476</v>
      </c>
      <c r="H11">
        <v>8856</v>
      </c>
      <c r="I11" t="s">
        <v>15</v>
      </c>
      <c r="J11" t="s">
        <v>40</v>
      </c>
      <c r="L11" t="str">
        <f>IF(Table17[[#This Row],[Revenue]]&gt;7000,"VIP Customer","Customer")</f>
        <v>VIP Customer</v>
      </c>
    </row>
    <row r="12" spans="1:12" x14ac:dyDescent="0.3">
      <c r="A12" t="s">
        <v>57</v>
      </c>
      <c r="B12" t="s">
        <v>58</v>
      </c>
      <c r="C12" t="s">
        <v>59</v>
      </c>
      <c r="D12" t="s">
        <v>49</v>
      </c>
      <c r="E12" t="s">
        <v>60</v>
      </c>
      <c r="F12">
        <v>5</v>
      </c>
      <c r="G12">
        <v>1331</v>
      </c>
      <c r="H12">
        <v>6655</v>
      </c>
      <c r="I12" t="s">
        <v>35</v>
      </c>
      <c r="J12" t="s">
        <v>27</v>
      </c>
      <c r="L12" t="str">
        <f>IF(Table17[[#This Row],[Revenue]]&gt;7000,"VIP Customer","Customer")</f>
        <v>Customer</v>
      </c>
    </row>
    <row r="13" spans="1:12" x14ac:dyDescent="0.3">
      <c r="A13" t="s">
        <v>61</v>
      </c>
      <c r="B13" t="s">
        <v>62</v>
      </c>
      <c r="C13" t="s">
        <v>63</v>
      </c>
      <c r="D13" t="s">
        <v>13</v>
      </c>
      <c r="E13" t="s">
        <v>14</v>
      </c>
      <c r="F13">
        <v>5</v>
      </c>
      <c r="G13">
        <v>678</v>
      </c>
      <c r="H13">
        <v>3390</v>
      </c>
      <c r="I13" t="s">
        <v>35</v>
      </c>
      <c r="J13" t="s">
        <v>27</v>
      </c>
      <c r="L13" t="str">
        <f>IF(Table17[[#This Row],[Revenue]]&gt;7000,"VIP Customer","Customer")</f>
        <v>Customer</v>
      </c>
    </row>
    <row r="14" spans="1:12" x14ac:dyDescent="0.3">
      <c r="A14" t="s">
        <v>64</v>
      </c>
      <c r="B14" t="s">
        <v>65</v>
      </c>
      <c r="C14" t="s">
        <v>66</v>
      </c>
      <c r="D14" t="s">
        <v>13</v>
      </c>
      <c r="E14" t="s">
        <v>60</v>
      </c>
      <c r="F14">
        <v>4</v>
      </c>
      <c r="G14">
        <v>1808</v>
      </c>
      <c r="H14">
        <v>7232</v>
      </c>
      <c r="I14" t="s">
        <v>67</v>
      </c>
      <c r="J14" t="s">
        <v>22</v>
      </c>
      <c r="L14" t="str">
        <f>IF(Table17[[#This Row],[Revenue]]&gt;7000,"VIP Customer","Customer")</f>
        <v>VIP Customer</v>
      </c>
    </row>
    <row r="15" spans="1:12" x14ac:dyDescent="0.3">
      <c r="A15" t="s">
        <v>68</v>
      </c>
      <c r="B15" t="s">
        <v>69</v>
      </c>
      <c r="C15" t="s">
        <v>70</v>
      </c>
      <c r="D15" t="s">
        <v>13</v>
      </c>
      <c r="E15" t="s">
        <v>45</v>
      </c>
      <c r="F15">
        <v>1</v>
      </c>
      <c r="G15">
        <v>1141</v>
      </c>
      <c r="H15">
        <v>1141</v>
      </c>
      <c r="I15" t="s">
        <v>67</v>
      </c>
      <c r="J15" t="s">
        <v>27</v>
      </c>
      <c r="L15" t="str">
        <f>IF(Table17[[#This Row],[Revenue]]&gt;7000,"VIP Customer","Customer")</f>
        <v>Customer</v>
      </c>
    </row>
    <row r="16" spans="1:12" x14ac:dyDescent="0.3">
      <c r="A16" t="s">
        <v>71</v>
      </c>
      <c r="B16" t="s">
        <v>72</v>
      </c>
      <c r="C16" t="s">
        <v>73</v>
      </c>
      <c r="D16" t="s">
        <v>20</v>
      </c>
      <c r="E16" t="s">
        <v>31</v>
      </c>
      <c r="F16">
        <v>6</v>
      </c>
      <c r="G16">
        <v>1433</v>
      </c>
      <c r="H16">
        <v>8598</v>
      </c>
      <c r="I16" t="s">
        <v>15</v>
      </c>
      <c r="J16" t="s">
        <v>27</v>
      </c>
      <c r="L16" t="str">
        <f>IF(Table17[[#This Row],[Revenue]]&gt;7000,"VIP Customer","Customer")</f>
        <v>VIP Customer</v>
      </c>
    </row>
    <row r="17" spans="1:12" x14ac:dyDescent="0.3">
      <c r="A17" t="s">
        <v>74</v>
      </c>
      <c r="B17" t="s">
        <v>75</v>
      </c>
      <c r="C17" t="s">
        <v>76</v>
      </c>
      <c r="D17" t="s">
        <v>20</v>
      </c>
      <c r="E17" t="s">
        <v>14</v>
      </c>
      <c r="F17">
        <v>1</v>
      </c>
      <c r="G17">
        <v>1766</v>
      </c>
      <c r="H17">
        <v>1766</v>
      </c>
      <c r="I17" t="s">
        <v>39</v>
      </c>
      <c r="J17" t="s">
        <v>22</v>
      </c>
      <c r="L17" t="str">
        <f>IF(Table17[[#This Row],[Revenue]]&gt;7000,"VIP Customer","Customer")</f>
        <v>Customer</v>
      </c>
    </row>
    <row r="18" spans="1:12" x14ac:dyDescent="0.3">
      <c r="A18" t="s">
        <v>77</v>
      </c>
      <c r="B18" t="s">
        <v>78</v>
      </c>
      <c r="C18" t="s">
        <v>79</v>
      </c>
      <c r="D18" t="s">
        <v>13</v>
      </c>
      <c r="E18" t="s">
        <v>14</v>
      </c>
      <c r="F18">
        <v>10</v>
      </c>
      <c r="G18">
        <v>1878</v>
      </c>
      <c r="H18">
        <v>18780</v>
      </c>
      <c r="I18" t="s">
        <v>21</v>
      </c>
      <c r="J18" t="s">
        <v>22</v>
      </c>
      <c r="L18" t="str">
        <f>IF(Table17[[#This Row],[Revenue]]&gt;7000,"VIP Customer","Customer")</f>
        <v>VIP Customer</v>
      </c>
    </row>
    <row r="19" spans="1:12" x14ac:dyDescent="0.3">
      <c r="A19" t="s">
        <v>80</v>
      </c>
      <c r="B19" t="s">
        <v>81</v>
      </c>
      <c r="C19" t="s">
        <v>82</v>
      </c>
      <c r="D19" t="s">
        <v>49</v>
      </c>
      <c r="E19" t="s">
        <v>14</v>
      </c>
      <c r="F19">
        <v>9</v>
      </c>
      <c r="G19">
        <v>1103</v>
      </c>
      <c r="H19">
        <v>9927</v>
      </c>
      <c r="I19" t="s">
        <v>53</v>
      </c>
      <c r="J19" t="s">
        <v>40</v>
      </c>
      <c r="L19" t="str">
        <f>IF(Table17[[#This Row],[Revenue]]&gt;7000,"VIP Customer","Customer")</f>
        <v>VIP Customer</v>
      </c>
    </row>
    <row r="20" spans="1:12" x14ac:dyDescent="0.3">
      <c r="A20" t="s">
        <v>83</v>
      </c>
      <c r="B20" t="s">
        <v>84</v>
      </c>
      <c r="C20" t="s">
        <v>85</v>
      </c>
      <c r="D20" t="s">
        <v>20</v>
      </c>
      <c r="E20" t="s">
        <v>86</v>
      </c>
      <c r="F20">
        <v>9</v>
      </c>
      <c r="G20">
        <v>921</v>
      </c>
      <c r="H20">
        <v>8289</v>
      </c>
      <c r="I20" t="s">
        <v>53</v>
      </c>
      <c r="J20" t="s">
        <v>40</v>
      </c>
      <c r="L20" t="str">
        <f>IF(Table17[[#This Row],[Revenue]]&gt;7000,"VIP Customer","Customer")</f>
        <v>VIP Customer</v>
      </c>
    </row>
    <row r="21" spans="1:12" x14ac:dyDescent="0.3">
      <c r="A21" t="s">
        <v>87</v>
      </c>
      <c r="B21" t="s">
        <v>88</v>
      </c>
      <c r="C21" t="s">
        <v>89</v>
      </c>
      <c r="D21" t="s">
        <v>49</v>
      </c>
      <c r="E21" t="s">
        <v>26</v>
      </c>
      <c r="F21">
        <v>3</v>
      </c>
      <c r="G21">
        <v>1080</v>
      </c>
      <c r="H21">
        <v>3240</v>
      </c>
      <c r="I21" t="s">
        <v>35</v>
      </c>
      <c r="J21" t="s">
        <v>40</v>
      </c>
      <c r="L21" t="str">
        <f>IF(Table17[[#This Row],[Revenue]]&gt;7000,"VIP Customer","Customer")</f>
        <v>Customer</v>
      </c>
    </row>
    <row r="22" spans="1:12" x14ac:dyDescent="0.3">
      <c r="A22" t="s">
        <v>90</v>
      </c>
      <c r="B22" t="s">
        <v>91</v>
      </c>
      <c r="C22" t="s">
        <v>92</v>
      </c>
      <c r="D22" t="s">
        <v>20</v>
      </c>
      <c r="E22" t="s">
        <v>31</v>
      </c>
      <c r="F22">
        <v>6</v>
      </c>
      <c r="G22">
        <v>1764</v>
      </c>
      <c r="H22">
        <v>10584</v>
      </c>
      <c r="I22" t="s">
        <v>35</v>
      </c>
      <c r="J22" t="s">
        <v>40</v>
      </c>
      <c r="L22" t="str">
        <f>IF(Table17[[#This Row],[Revenue]]&gt;7000,"VIP Customer","Customer")</f>
        <v>VIP Customer</v>
      </c>
    </row>
    <row r="23" spans="1:12" x14ac:dyDescent="0.3">
      <c r="A23" t="s">
        <v>93</v>
      </c>
      <c r="B23" t="s">
        <v>65</v>
      </c>
      <c r="C23" t="s">
        <v>94</v>
      </c>
      <c r="D23" t="s">
        <v>44</v>
      </c>
      <c r="E23" t="s">
        <v>14</v>
      </c>
      <c r="F23">
        <v>10</v>
      </c>
      <c r="G23">
        <v>865</v>
      </c>
      <c r="H23">
        <v>8650</v>
      </c>
      <c r="I23" t="s">
        <v>67</v>
      </c>
      <c r="J23" t="s">
        <v>16</v>
      </c>
      <c r="L23" t="str">
        <f>IF(Table17[[#This Row],[Revenue]]&gt;7000,"VIP Customer","Customer")</f>
        <v>VIP Customer</v>
      </c>
    </row>
    <row r="24" spans="1:12" x14ac:dyDescent="0.3">
      <c r="A24" t="s">
        <v>95</v>
      </c>
      <c r="B24" t="s">
        <v>96</v>
      </c>
      <c r="C24" t="s">
        <v>97</v>
      </c>
      <c r="D24" t="s">
        <v>49</v>
      </c>
      <c r="E24" t="s">
        <v>60</v>
      </c>
      <c r="F24">
        <v>5</v>
      </c>
      <c r="G24">
        <v>1177</v>
      </c>
      <c r="H24">
        <v>5885</v>
      </c>
      <c r="I24" t="s">
        <v>15</v>
      </c>
      <c r="J24" t="s">
        <v>40</v>
      </c>
      <c r="L24" t="str">
        <f>IF(Table17[[#This Row],[Revenue]]&gt;7000,"VIP Customer","Customer")</f>
        <v>Customer</v>
      </c>
    </row>
    <row r="25" spans="1:12" x14ac:dyDescent="0.3">
      <c r="A25" t="s">
        <v>98</v>
      </c>
      <c r="B25" t="s">
        <v>99</v>
      </c>
      <c r="C25" t="s">
        <v>100</v>
      </c>
      <c r="D25" t="s">
        <v>44</v>
      </c>
      <c r="E25" t="s">
        <v>31</v>
      </c>
      <c r="F25">
        <v>7</v>
      </c>
      <c r="G25">
        <v>888</v>
      </c>
      <c r="H25">
        <v>6216</v>
      </c>
      <c r="I25" t="s">
        <v>67</v>
      </c>
      <c r="J25" t="s">
        <v>16</v>
      </c>
      <c r="L25" t="str">
        <f>IF(Table17[[#This Row],[Revenue]]&gt;7000,"VIP Customer","Customer")</f>
        <v>Customer</v>
      </c>
    </row>
    <row r="26" spans="1:12" x14ac:dyDescent="0.3">
      <c r="A26" t="s">
        <v>101</v>
      </c>
      <c r="B26" t="s">
        <v>102</v>
      </c>
      <c r="C26" t="s">
        <v>103</v>
      </c>
      <c r="D26" t="s">
        <v>20</v>
      </c>
      <c r="E26" t="s">
        <v>14</v>
      </c>
      <c r="F26">
        <v>1</v>
      </c>
      <c r="G26">
        <v>1875</v>
      </c>
      <c r="H26">
        <v>1875</v>
      </c>
      <c r="I26" t="s">
        <v>39</v>
      </c>
      <c r="J26" t="s">
        <v>22</v>
      </c>
      <c r="L26" t="str">
        <f>IF(Table17[[#This Row],[Revenue]]&gt;7000,"VIP Customer","Customer")</f>
        <v>Customer</v>
      </c>
    </row>
    <row r="27" spans="1:12" x14ac:dyDescent="0.3">
      <c r="A27" t="s">
        <v>104</v>
      </c>
      <c r="B27" t="s">
        <v>105</v>
      </c>
      <c r="C27" t="s">
        <v>106</v>
      </c>
      <c r="D27" t="s">
        <v>49</v>
      </c>
      <c r="E27" t="s">
        <v>31</v>
      </c>
      <c r="F27">
        <v>2</v>
      </c>
      <c r="G27">
        <v>1778</v>
      </c>
      <c r="H27">
        <v>3556</v>
      </c>
      <c r="I27" t="s">
        <v>39</v>
      </c>
      <c r="J27" t="s">
        <v>22</v>
      </c>
      <c r="L27" t="str">
        <f>IF(Table17[[#This Row],[Revenue]]&gt;7000,"VIP Customer","Customer")</f>
        <v>Customer</v>
      </c>
    </row>
    <row r="28" spans="1:12" x14ac:dyDescent="0.3">
      <c r="A28" t="s">
        <v>107</v>
      </c>
      <c r="B28" t="s">
        <v>108</v>
      </c>
      <c r="C28" t="s">
        <v>109</v>
      </c>
      <c r="D28" t="s">
        <v>13</v>
      </c>
      <c r="E28" t="s">
        <v>14</v>
      </c>
      <c r="F28">
        <v>7</v>
      </c>
      <c r="G28">
        <v>291</v>
      </c>
      <c r="H28">
        <v>2037</v>
      </c>
      <c r="I28" t="s">
        <v>15</v>
      </c>
      <c r="J28" t="s">
        <v>40</v>
      </c>
      <c r="L28" t="str">
        <f>IF(Table17[[#This Row],[Revenue]]&gt;7000,"VIP Customer","Customer")</f>
        <v>Customer</v>
      </c>
    </row>
    <row r="29" spans="1:12" x14ac:dyDescent="0.3">
      <c r="A29" t="s">
        <v>110</v>
      </c>
      <c r="B29" t="s">
        <v>111</v>
      </c>
      <c r="C29" t="s">
        <v>112</v>
      </c>
      <c r="D29" t="s">
        <v>13</v>
      </c>
      <c r="E29" t="s">
        <v>31</v>
      </c>
      <c r="F29">
        <v>10</v>
      </c>
      <c r="G29">
        <v>1960</v>
      </c>
      <c r="H29">
        <v>19600</v>
      </c>
      <c r="I29" t="s">
        <v>53</v>
      </c>
      <c r="J29" t="s">
        <v>22</v>
      </c>
      <c r="L29" t="str">
        <f>IF(Table17[[#This Row],[Revenue]]&gt;7000,"VIP Customer","Customer")</f>
        <v>VIP Customer</v>
      </c>
    </row>
    <row r="30" spans="1:12" x14ac:dyDescent="0.3">
      <c r="A30" t="s">
        <v>113</v>
      </c>
      <c r="B30" t="s">
        <v>114</v>
      </c>
      <c r="C30" t="s">
        <v>115</v>
      </c>
      <c r="D30" t="s">
        <v>20</v>
      </c>
      <c r="E30" t="s">
        <v>26</v>
      </c>
      <c r="F30">
        <v>3</v>
      </c>
      <c r="G30">
        <v>798</v>
      </c>
      <c r="H30">
        <v>2394</v>
      </c>
      <c r="I30" t="s">
        <v>15</v>
      </c>
      <c r="J30" t="s">
        <v>16</v>
      </c>
      <c r="L30" t="str">
        <f>IF(Table17[[#This Row],[Revenue]]&gt;7000,"VIP Customer","Customer")</f>
        <v>Customer</v>
      </c>
    </row>
    <row r="31" spans="1:12" x14ac:dyDescent="0.3">
      <c r="A31" t="s">
        <v>116</v>
      </c>
      <c r="B31" t="s">
        <v>117</v>
      </c>
      <c r="C31" t="s">
        <v>118</v>
      </c>
      <c r="D31" t="s">
        <v>20</v>
      </c>
      <c r="E31" t="s">
        <v>26</v>
      </c>
      <c r="F31">
        <v>3</v>
      </c>
      <c r="G31">
        <v>1945</v>
      </c>
      <c r="H31">
        <v>5835</v>
      </c>
      <c r="I31" t="s">
        <v>21</v>
      </c>
      <c r="J31" t="s">
        <v>16</v>
      </c>
      <c r="L31" t="str">
        <f>IF(Table17[[#This Row],[Revenue]]&gt;7000,"VIP Customer","Customer")</f>
        <v>Customer</v>
      </c>
    </row>
    <row r="32" spans="1:12" x14ac:dyDescent="0.3">
      <c r="A32" t="s">
        <v>119</v>
      </c>
      <c r="B32" t="s">
        <v>120</v>
      </c>
      <c r="C32" t="s">
        <v>121</v>
      </c>
      <c r="D32" t="s">
        <v>44</v>
      </c>
      <c r="E32" t="s">
        <v>26</v>
      </c>
      <c r="F32">
        <v>2</v>
      </c>
      <c r="G32">
        <v>1190</v>
      </c>
      <c r="H32">
        <v>2380</v>
      </c>
      <c r="I32" t="s">
        <v>35</v>
      </c>
      <c r="J32" t="s">
        <v>16</v>
      </c>
      <c r="L32" t="str">
        <f>IF(Table17[[#This Row],[Revenue]]&gt;7000,"VIP Customer","Customer")</f>
        <v>Customer</v>
      </c>
    </row>
    <row r="33" spans="1:12" x14ac:dyDescent="0.3">
      <c r="A33" t="s">
        <v>122</v>
      </c>
      <c r="B33" t="s">
        <v>123</v>
      </c>
      <c r="C33" t="s">
        <v>124</v>
      </c>
      <c r="D33" t="s">
        <v>13</v>
      </c>
      <c r="E33" t="s">
        <v>26</v>
      </c>
      <c r="F33">
        <v>3</v>
      </c>
      <c r="G33">
        <v>1481</v>
      </c>
      <c r="H33">
        <v>4443</v>
      </c>
      <c r="I33" t="s">
        <v>39</v>
      </c>
      <c r="J33" t="s">
        <v>22</v>
      </c>
      <c r="L33" t="str">
        <f>IF(Table17[[#This Row],[Revenue]]&gt;7000,"VIP Customer","Customer")</f>
        <v>Customer</v>
      </c>
    </row>
    <row r="34" spans="1:12" x14ac:dyDescent="0.3">
      <c r="A34" t="s">
        <v>125</v>
      </c>
      <c r="B34" t="s">
        <v>126</v>
      </c>
      <c r="C34" t="s">
        <v>127</v>
      </c>
      <c r="D34" t="s">
        <v>13</v>
      </c>
      <c r="E34" t="s">
        <v>60</v>
      </c>
      <c r="F34">
        <v>10</v>
      </c>
      <c r="G34">
        <v>1840</v>
      </c>
      <c r="H34">
        <v>18400</v>
      </c>
      <c r="I34" t="s">
        <v>39</v>
      </c>
      <c r="J34" t="s">
        <v>16</v>
      </c>
      <c r="L34" t="str">
        <f>IF(Table17[[#This Row],[Revenue]]&gt;7000,"VIP Customer","Customer")</f>
        <v>VIP Customer</v>
      </c>
    </row>
    <row r="35" spans="1:12" x14ac:dyDescent="0.3">
      <c r="A35" t="s">
        <v>128</v>
      </c>
      <c r="B35" t="s">
        <v>129</v>
      </c>
      <c r="C35" t="s">
        <v>130</v>
      </c>
      <c r="D35" t="s">
        <v>49</v>
      </c>
      <c r="E35" t="s">
        <v>86</v>
      </c>
      <c r="F35">
        <v>4</v>
      </c>
      <c r="G35">
        <v>285</v>
      </c>
      <c r="H35">
        <v>1140</v>
      </c>
      <c r="I35" t="s">
        <v>21</v>
      </c>
      <c r="J35" t="s">
        <v>22</v>
      </c>
      <c r="L35" t="str">
        <f>IF(Table17[[#This Row],[Revenue]]&gt;7000,"VIP Customer","Customer")</f>
        <v>Customer</v>
      </c>
    </row>
    <row r="36" spans="1:12" x14ac:dyDescent="0.3">
      <c r="A36" t="s">
        <v>131</v>
      </c>
      <c r="B36" t="s">
        <v>132</v>
      </c>
      <c r="C36" t="s">
        <v>133</v>
      </c>
      <c r="D36" t="s">
        <v>49</v>
      </c>
      <c r="E36" t="s">
        <v>31</v>
      </c>
      <c r="F36">
        <v>7</v>
      </c>
      <c r="G36">
        <v>424</v>
      </c>
      <c r="H36">
        <v>2968</v>
      </c>
      <c r="I36" t="s">
        <v>39</v>
      </c>
      <c r="J36" t="s">
        <v>40</v>
      </c>
      <c r="L36" t="str">
        <f>IF(Table17[[#This Row],[Revenue]]&gt;7000,"VIP Customer","Customer")</f>
        <v>Customer</v>
      </c>
    </row>
    <row r="37" spans="1:12" x14ac:dyDescent="0.3">
      <c r="A37" t="s">
        <v>134</v>
      </c>
      <c r="B37" t="s">
        <v>135</v>
      </c>
      <c r="C37" t="s">
        <v>136</v>
      </c>
      <c r="D37" t="s">
        <v>13</v>
      </c>
      <c r="E37" t="s">
        <v>86</v>
      </c>
      <c r="F37">
        <v>2</v>
      </c>
      <c r="G37">
        <v>1531</v>
      </c>
      <c r="H37">
        <v>3062</v>
      </c>
      <c r="I37" t="s">
        <v>53</v>
      </c>
      <c r="J37" t="s">
        <v>27</v>
      </c>
      <c r="L37" t="str">
        <f>IF(Table17[[#This Row],[Revenue]]&gt;7000,"VIP Customer","Customer")</f>
        <v>Customer</v>
      </c>
    </row>
    <row r="38" spans="1:12" x14ac:dyDescent="0.3">
      <c r="A38" t="s">
        <v>137</v>
      </c>
      <c r="B38" t="s">
        <v>138</v>
      </c>
      <c r="C38" t="s">
        <v>139</v>
      </c>
      <c r="D38" t="s">
        <v>13</v>
      </c>
      <c r="E38" t="s">
        <v>45</v>
      </c>
      <c r="F38">
        <v>9</v>
      </c>
      <c r="G38">
        <v>256</v>
      </c>
      <c r="H38">
        <v>2304</v>
      </c>
      <c r="I38" t="s">
        <v>15</v>
      </c>
      <c r="J38" t="s">
        <v>40</v>
      </c>
      <c r="L38" t="str">
        <f>IF(Table17[[#This Row],[Revenue]]&gt;7000,"VIP Customer","Customer")</f>
        <v>Customer</v>
      </c>
    </row>
    <row r="39" spans="1:12" x14ac:dyDescent="0.3">
      <c r="A39" t="s">
        <v>140</v>
      </c>
      <c r="B39" t="s">
        <v>141</v>
      </c>
      <c r="C39" t="s">
        <v>142</v>
      </c>
      <c r="D39" t="s">
        <v>13</v>
      </c>
      <c r="E39" t="s">
        <v>45</v>
      </c>
      <c r="F39">
        <v>10</v>
      </c>
      <c r="G39">
        <v>212</v>
      </c>
      <c r="H39">
        <v>2120</v>
      </c>
      <c r="I39" t="s">
        <v>39</v>
      </c>
      <c r="J39" t="s">
        <v>27</v>
      </c>
      <c r="L39" t="str">
        <f>IF(Table17[[#This Row],[Revenue]]&gt;7000,"VIP Customer","Customer")</f>
        <v>Customer</v>
      </c>
    </row>
    <row r="40" spans="1:12" x14ac:dyDescent="0.3">
      <c r="A40" t="s">
        <v>143</v>
      </c>
      <c r="B40" t="s">
        <v>144</v>
      </c>
      <c r="C40" t="s">
        <v>145</v>
      </c>
      <c r="D40" t="s">
        <v>13</v>
      </c>
      <c r="E40" t="s">
        <v>31</v>
      </c>
      <c r="F40">
        <v>6</v>
      </c>
      <c r="G40">
        <v>753</v>
      </c>
      <c r="H40">
        <v>4518</v>
      </c>
      <c r="I40" t="s">
        <v>67</v>
      </c>
      <c r="J40" t="s">
        <v>16</v>
      </c>
      <c r="L40" t="str">
        <f>IF(Table17[[#This Row],[Revenue]]&gt;7000,"VIP Customer","Customer")</f>
        <v>Customer</v>
      </c>
    </row>
    <row r="41" spans="1:12" x14ac:dyDescent="0.3">
      <c r="A41" t="s">
        <v>146</v>
      </c>
      <c r="B41" t="s">
        <v>147</v>
      </c>
      <c r="C41" t="s">
        <v>148</v>
      </c>
      <c r="D41" t="s">
        <v>20</v>
      </c>
      <c r="E41" t="s">
        <v>31</v>
      </c>
      <c r="F41">
        <v>4</v>
      </c>
      <c r="G41">
        <v>1443</v>
      </c>
      <c r="H41">
        <v>5772</v>
      </c>
      <c r="I41" t="s">
        <v>21</v>
      </c>
      <c r="J41" t="s">
        <v>16</v>
      </c>
      <c r="L41" t="str">
        <f>IF(Table17[[#This Row],[Revenue]]&gt;7000,"VIP Customer","Customer")</f>
        <v>Customer</v>
      </c>
    </row>
    <row r="42" spans="1:12" x14ac:dyDescent="0.3">
      <c r="A42" t="s">
        <v>149</v>
      </c>
      <c r="B42" t="s">
        <v>150</v>
      </c>
      <c r="C42" t="s">
        <v>151</v>
      </c>
      <c r="D42" t="s">
        <v>13</v>
      </c>
      <c r="E42" t="s">
        <v>31</v>
      </c>
      <c r="F42">
        <v>3</v>
      </c>
      <c r="G42">
        <v>1930</v>
      </c>
      <c r="H42">
        <v>5790</v>
      </c>
      <c r="I42" t="s">
        <v>39</v>
      </c>
      <c r="J42" t="s">
        <v>16</v>
      </c>
      <c r="L42" t="str">
        <f>IF(Table17[[#This Row],[Revenue]]&gt;7000,"VIP Customer","Customer")</f>
        <v>Customer</v>
      </c>
    </row>
    <row r="43" spans="1:12" x14ac:dyDescent="0.3">
      <c r="A43" t="s">
        <v>152</v>
      </c>
      <c r="B43" t="s">
        <v>120</v>
      </c>
      <c r="C43" t="s">
        <v>153</v>
      </c>
      <c r="D43" t="s">
        <v>49</v>
      </c>
      <c r="E43" t="s">
        <v>31</v>
      </c>
      <c r="F43">
        <v>9</v>
      </c>
      <c r="G43">
        <v>1394</v>
      </c>
      <c r="H43">
        <v>12546</v>
      </c>
      <c r="I43" t="s">
        <v>53</v>
      </c>
      <c r="J43" t="s">
        <v>22</v>
      </c>
      <c r="L43" t="str">
        <f>IF(Table17[[#This Row],[Revenue]]&gt;7000,"VIP Customer","Customer")</f>
        <v>VIP Customer</v>
      </c>
    </row>
    <row r="44" spans="1:12" x14ac:dyDescent="0.3">
      <c r="A44" t="s">
        <v>154</v>
      </c>
      <c r="B44" t="s">
        <v>155</v>
      </c>
      <c r="C44" t="s">
        <v>156</v>
      </c>
      <c r="D44" t="s">
        <v>20</v>
      </c>
      <c r="E44" t="s">
        <v>31</v>
      </c>
      <c r="F44">
        <v>3</v>
      </c>
      <c r="G44">
        <v>529</v>
      </c>
      <c r="H44">
        <v>1587</v>
      </c>
      <c r="I44" t="s">
        <v>15</v>
      </c>
      <c r="J44" t="s">
        <v>27</v>
      </c>
      <c r="L44" t="str">
        <f>IF(Table17[[#This Row],[Revenue]]&gt;7000,"VIP Customer","Customer")</f>
        <v>Customer</v>
      </c>
    </row>
    <row r="45" spans="1:12" x14ac:dyDescent="0.3">
      <c r="A45" t="s">
        <v>157</v>
      </c>
      <c r="B45" t="s">
        <v>158</v>
      </c>
      <c r="C45" t="s">
        <v>159</v>
      </c>
      <c r="D45" t="s">
        <v>44</v>
      </c>
      <c r="E45" t="s">
        <v>26</v>
      </c>
      <c r="F45">
        <v>6</v>
      </c>
      <c r="G45">
        <v>1816</v>
      </c>
      <c r="H45">
        <v>10896</v>
      </c>
      <c r="I45" t="s">
        <v>15</v>
      </c>
      <c r="J45" t="s">
        <v>22</v>
      </c>
      <c r="L45" t="str">
        <f>IF(Table17[[#This Row],[Revenue]]&gt;7000,"VIP Customer","Customer")</f>
        <v>VIP Customer</v>
      </c>
    </row>
    <row r="46" spans="1:12" x14ac:dyDescent="0.3">
      <c r="A46" t="s">
        <v>160</v>
      </c>
      <c r="B46" t="s">
        <v>161</v>
      </c>
      <c r="C46" t="s">
        <v>162</v>
      </c>
      <c r="D46" t="s">
        <v>20</v>
      </c>
      <c r="E46" t="s">
        <v>14</v>
      </c>
      <c r="F46">
        <v>5</v>
      </c>
      <c r="G46">
        <v>1252</v>
      </c>
      <c r="H46">
        <v>6260</v>
      </c>
      <c r="I46" t="s">
        <v>67</v>
      </c>
      <c r="J46" t="s">
        <v>16</v>
      </c>
      <c r="L46" t="str">
        <f>IF(Table17[[#This Row],[Revenue]]&gt;7000,"VIP Customer","Customer")</f>
        <v>Customer</v>
      </c>
    </row>
    <row r="47" spans="1:12" x14ac:dyDescent="0.3">
      <c r="A47" t="s">
        <v>163</v>
      </c>
      <c r="B47" t="s">
        <v>164</v>
      </c>
      <c r="C47" t="s">
        <v>165</v>
      </c>
      <c r="D47" t="s">
        <v>20</v>
      </c>
      <c r="E47" t="s">
        <v>86</v>
      </c>
      <c r="F47">
        <v>2</v>
      </c>
      <c r="G47">
        <v>1846</v>
      </c>
      <c r="H47">
        <v>3692</v>
      </c>
      <c r="I47" t="s">
        <v>35</v>
      </c>
      <c r="J47" t="s">
        <v>40</v>
      </c>
      <c r="L47" t="str">
        <f>IF(Table17[[#This Row],[Revenue]]&gt;7000,"VIP Customer","Customer")</f>
        <v>Customer</v>
      </c>
    </row>
    <row r="48" spans="1:12" x14ac:dyDescent="0.3">
      <c r="A48" t="s">
        <v>166</v>
      </c>
      <c r="B48" t="s">
        <v>167</v>
      </c>
      <c r="C48" t="s">
        <v>168</v>
      </c>
      <c r="D48" t="s">
        <v>49</v>
      </c>
      <c r="E48" t="s">
        <v>86</v>
      </c>
      <c r="F48">
        <v>1</v>
      </c>
      <c r="G48">
        <v>1316</v>
      </c>
      <c r="H48">
        <v>1316</v>
      </c>
      <c r="I48" t="s">
        <v>21</v>
      </c>
      <c r="J48" t="s">
        <v>16</v>
      </c>
      <c r="L48" t="str">
        <f>IF(Table17[[#This Row],[Revenue]]&gt;7000,"VIP Customer","Customer")</f>
        <v>Customer</v>
      </c>
    </row>
    <row r="49" spans="1:12" x14ac:dyDescent="0.3">
      <c r="A49" t="s">
        <v>169</v>
      </c>
      <c r="B49" t="s">
        <v>88</v>
      </c>
      <c r="C49" t="s">
        <v>170</v>
      </c>
      <c r="D49" t="s">
        <v>13</v>
      </c>
      <c r="E49" t="s">
        <v>31</v>
      </c>
      <c r="F49">
        <v>7</v>
      </c>
      <c r="G49">
        <v>1539</v>
      </c>
      <c r="H49">
        <v>10773</v>
      </c>
      <c r="I49" t="s">
        <v>15</v>
      </c>
      <c r="J49" t="s">
        <v>40</v>
      </c>
      <c r="L49" t="str">
        <f>IF(Table17[[#This Row],[Revenue]]&gt;7000,"VIP Customer","Customer")</f>
        <v>VIP Customer</v>
      </c>
    </row>
    <row r="50" spans="1:12" x14ac:dyDescent="0.3">
      <c r="A50" t="s">
        <v>171</v>
      </c>
      <c r="B50" t="s">
        <v>172</v>
      </c>
      <c r="C50" t="s">
        <v>173</v>
      </c>
      <c r="D50" t="s">
        <v>44</v>
      </c>
      <c r="E50" t="s">
        <v>14</v>
      </c>
      <c r="F50">
        <v>1</v>
      </c>
      <c r="G50">
        <v>184</v>
      </c>
      <c r="H50">
        <v>184</v>
      </c>
      <c r="I50" t="s">
        <v>35</v>
      </c>
      <c r="J50" t="s">
        <v>16</v>
      </c>
      <c r="L50" t="str">
        <f>IF(Table17[[#This Row],[Revenue]]&gt;7000,"VIP Customer","Customer")</f>
        <v>Customer</v>
      </c>
    </row>
    <row r="51" spans="1:12" x14ac:dyDescent="0.3">
      <c r="A51" t="s">
        <v>174</v>
      </c>
      <c r="B51" t="s">
        <v>175</v>
      </c>
      <c r="C51" t="s">
        <v>176</v>
      </c>
      <c r="D51" t="s">
        <v>20</v>
      </c>
      <c r="E51" t="s">
        <v>45</v>
      </c>
      <c r="F51">
        <v>6</v>
      </c>
      <c r="G51">
        <v>1468</v>
      </c>
      <c r="H51">
        <v>8808</v>
      </c>
      <c r="I51" t="s">
        <v>35</v>
      </c>
      <c r="J51" t="s">
        <v>16</v>
      </c>
      <c r="L51" t="str">
        <f>IF(Table17[[#This Row],[Revenue]]&gt;7000,"VIP Customer","Customer")</f>
        <v>VIP Customer</v>
      </c>
    </row>
    <row r="52" spans="1:12" x14ac:dyDescent="0.3">
      <c r="A52" t="s">
        <v>177</v>
      </c>
      <c r="B52" t="s">
        <v>178</v>
      </c>
      <c r="C52" t="s">
        <v>179</v>
      </c>
      <c r="D52" t="s">
        <v>13</v>
      </c>
      <c r="E52" t="s">
        <v>60</v>
      </c>
      <c r="F52">
        <v>6</v>
      </c>
      <c r="G52">
        <v>536</v>
      </c>
      <c r="H52">
        <v>3216</v>
      </c>
      <c r="I52" t="s">
        <v>39</v>
      </c>
      <c r="J52" t="s">
        <v>22</v>
      </c>
      <c r="L52" t="str">
        <f>IF(Table17[[#This Row],[Revenue]]&gt;7000,"VIP Customer","Customer")</f>
        <v>Customer</v>
      </c>
    </row>
    <row r="53" spans="1:12" x14ac:dyDescent="0.3">
      <c r="A53" t="s">
        <v>180</v>
      </c>
      <c r="B53" t="s">
        <v>181</v>
      </c>
      <c r="C53" t="s">
        <v>182</v>
      </c>
      <c r="D53" t="s">
        <v>49</v>
      </c>
      <c r="E53" t="s">
        <v>26</v>
      </c>
      <c r="F53">
        <v>2</v>
      </c>
      <c r="G53">
        <v>1214</v>
      </c>
      <c r="H53">
        <v>2428</v>
      </c>
      <c r="I53" t="s">
        <v>35</v>
      </c>
      <c r="J53" t="s">
        <v>22</v>
      </c>
      <c r="L53" t="str">
        <f>IF(Table17[[#This Row],[Revenue]]&gt;7000,"VIP Customer","Customer")</f>
        <v>Customer</v>
      </c>
    </row>
    <row r="54" spans="1:12" x14ac:dyDescent="0.3">
      <c r="A54" t="s">
        <v>183</v>
      </c>
      <c r="B54" t="s">
        <v>184</v>
      </c>
      <c r="C54" t="s">
        <v>185</v>
      </c>
      <c r="D54" t="s">
        <v>13</v>
      </c>
      <c r="E54" t="s">
        <v>60</v>
      </c>
      <c r="F54">
        <v>5</v>
      </c>
      <c r="G54">
        <v>572</v>
      </c>
      <c r="H54">
        <v>2860</v>
      </c>
      <c r="I54" t="s">
        <v>67</v>
      </c>
      <c r="J54" t="s">
        <v>16</v>
      </c>
      <c r="L54" t="str">
        <f>IF(Table17[[#This Row],[Revenue]]&gt;7000,"VIP Customer","Customer")</f>
        <v>Customer</v>
      </c>
    </row>
    <row r="55" spans="1:12" x14ac:dyDescent="0.3">
      <c r="A55" t="s">
        <v>186</v>
      </c>
      <c r="B55" t="s">
        <v>187</v>
      </c>
      <c r="C55" t="s">
        <v>188</v>
      </c>
      <c r="D55" t="s">
        <v>13</v>
      </c>
      <c r="E55" t="s">
        <v>26</v>
      </c>
      <c r="F55">
        <v>5</v>
      </c>
      <c r="G55">
        <v>275</v>
      </c>
      <c r="H55">
        <v>1375</v>
      </c>
      <c r="I55" t="s">
        <v>53</v>
      </c>
      <c r="J55" t="s">
        <v>22</v>
      </c>
      <c r="L55" t="str">
        <f>IF(Table17[[#This Row],[Revenue]]&gt;7000,"VIP Customer","Customer")</f>
        <v>Customer</v>
      </c>
    </row>
    <row r="56" spans="1:12" x14ac:dyDescent="0.3">
      <c r="A56" t="s">
        <v>189</v>
      </c>
      <c r="B56" t="s">
        <v>190</v>
      </c>
      <c r="C56" t="s">
        <v>191</v>
      </c>
      <c r="D56" t="s">
        <v>20</v>
      </c>
      <c r="E56" t="s">
        <v>86</v>
      </c>
      <c r="F56">
        <v>3</v>
      </c>
      <c r="G56">
        <v>1329</v>
      </c>
      <c r="H56">
        <v>3987</v>
      </c>
      <c r="I56" t="s">
        <v>35</v>
      </c>
      <c r="J56" t="s">
        <v>22</v>
      </c>
      <c r="L56" t="str">
        <f>IF(Table17[[#This Row],[Revenue]]&gt;7000,"VIP Customer","Customer")</f>
        <v>Customer</v>
      </c>
    </row>
    <row r="57" spans="1:12" x14ac:dyDescent="0.3">
      <c r="A57" t="s">
        <v>192</v>
      </c>
      <c r="B57" t="s">
        <v>29</v>
      </c>
      <c r="C57" t="s">
        <v>193</v>
      </c>
      <c r="D57" t="s">
        <v>49</v>
      </c>
      <c r="E57" t="s">
        <v>26</v>
      </c>
      <c r="F57">
        <v>4</v>
      </c>
      <c r="G57">
        <v>1586</v>
      </c>
      <c r="H57">
        <v>6344</v>
      </c>
      <c r="I57" t="s">
        <v>35</v>
      </c>
      <c r="J57" t="s">
        <v>27</v>
      </c>
      <c r="L57" t="str">
        <f>IF(Table17[[#This Row],[Revenue]]&gt;7000,"VIP Customer","Customer")</f>
        <v>Customer</v>
      </c>
    </row>
    <row r="58" spans="1:12" x14ac:dyDescent="0.3">
      <c r="A58" t="s">
        <v>194</v>
      </c>
      <c r="B58" t="s">
        <v>195</v>
      </c>
      <c r="C58" t="s">
        <v>196</v>
      </c>
      <c r="D58" t="s">
        <v>49</v>
      </c>
      <c r="E58" t="s">
        <v>14</v>
      </c>
      <c r="F58">
        <v>6</v>
      </c>
      <c r="G58">
        <v>467</v>
      </c>
      <c r="H58">
        <v>2802</v>
      </c>
      <c r="I58" t="s">
        <v>35</v>
      </c>
      <c r="J58" t="s">
        <v>16</v>
      </c>
      <c r="L58" t="str">
        <f>IF(Table17[[#This Row],[Revenue]]&gt;7000,"VIP Customer","Customer")</f>
        <v>Customer</v>
      </c>
    </row>
    <row r="59" spans="1:12" x14ac:dyDescent="0.3">
      <c r="A59" t="s">
        <v>197</v>
      </c>
      <c r="B59" t="s">
        <v>198</v>
      </c>
      <c r="C59" t="s">
        <v>199</v>
      </c>
      <c r="D59" t="s">
        <v>49</v>
      </c>
      <c r="E59" t="s">
        <v>86</v>
      </c>
      <c r="F59">
        <v>5</v>
      </c>
      <c r="G59">
        <v>1113</v>
      </c>
      <c r="H59">
        <v>5565</v>
      </c>
      <c r="I59" t="s">
        <v>15</v>
      </c>
      <c r="J59" t="s">
        <v>40</v>
      </c>
      <c r="L59" t="str">
        <f>IF(Table17[[#This Row],[Revenue]]&gt;7000,"VIP Customer","Customer")</f>
        <v>Customer</v>
      </c>
    </row>
    <row r="60" spans="1:12" x14ac:dyDescent="0.3">
      <c r="A60" t="s">
        <v>200</v>
      </c>
      <c r="B60" t="s">
        <v>201</v>
      </c>
      <c r="C60" t="s">
        <v>202</v>
      </c>
      <c r="D60" t="s">
        <v>49</v>
      </c>
      <c r="E60" t="s">
        <v>14</v>
      </c>
      <c r="F60">
        <v>2</v>
      </c>
      <c r="G60">
        <v>1540</v>
      </c>
      <c r="H60">
        <v>3080</v>
      </c>
      <c r="I60" t="s">
        <v>21</v>
      </c>
      <c r="J60" t="s">
        <v>27</v>
      </c>
      <c r="L60" t="str">
        <f>IF(Table17[[#This Row],[Revenue]]&gt;7000,"VIP Customer","Customer")</f>
        <v>Customer</v>
      </c>
    </row>
    <row r="61" spans="1:12" x14ac:dyDescent="0.3">
      <c r="A61" t="s">
        <v>203</v>
      </c>
      <c r="B61" t="s">
        <v>204</v>
      </c>
      <c r="C61" t="s">
        <v>205</v>
      </c>
      <c r="D61" t="s">
        <v>20</v>
      </c>
      <c r="E61" t="s">
        <v>26</v>
      </c>
      <c r="F61">
        <v>7</v>
      </c>
      <c r="G61">
        <v>1454</v>
      </c>
      <c r="H61">
        <v>10178</v>
      </c>
      <c r="I61" t="s">
        <v>39</v>
      </c>
      <c r="J61" t="s">
        <v>16</v>
      </c>
      <c r="L61" t="str">
        <f>IF(Table17[[#This Row],[Revenue]]&gt;7000,"VIP Customer","Customer")</f>
        <v>VIP Customer</v>
      </c>
    </row>
    <row r="62" spans="1:12" x14ac:dyDescent="0.3">
      <c r="A62" t="s">
        <v>206</v>
      </c>
      <c r="B62" t="s">
        <v>207</v>
      </c>
      <c r="C62" t="s">
        <v>208</v>
      </c>
      <c r="D62" t="s">
        <v>44</v>
      </c>
      <c r="E62" t="s">
        <v>45</v>
      </c>
      <c r="F62">
        <v>4</v>
      </c>
      <c r="G62">
        <v>1433</v>
      </c>
      <c r="H62">
        <v>5732</v>
      </c>
      <c r="I62" t="s">
        <v>15</v>
      </c>
      <c r="J62" t="s">
        <v>40</v>
      </c>
      <c r="L62" t="str">
        <f>IF(Table17[[#This Row],[Revenue]]&gt;7000,"VIP Customer","Customer")</f>
        <v>Customer</v>
      </c>
    </row>
    <row r="63" spans="1:12" x14ac:dyDescent="0.3">
      <c r="A63" t="s">
        <v>209</v>
      </c>
      <c r="B63" t="s">
        <v>210</v>
      </c>
      <c r="C63" t="s">
        <v>211</v>
      </c>
      <c r="D63" t="s">
        <v>49</v>
      </c>
      <c r="E63" t="s">
        <v>45</v>
      </c>
      <c r="F63">
        <v>9</v>
      </c>
      <c r="G63">
        <v>1993</v>
      </c>
      <c r="H63">
        <v>17937</v>
      </c>
      <c r="I63" t="s">
        <v>21</v>
      </c>
      <c r="J63" t="s">
        <v>40</v>
      </c>
      <c r="L63" t="str">
        <f>IF(Table17[[#This Row],[Revenue]]&gt;7000,"VIP Customer","Customer")</f>
        <v>VIP Customer</v>
      </c>
    </row>
    <row r="64" spans="1:12" x14ac:dyDescent="0.3">
      <c r="A64" t="s">
        <v>212</v>
      </c>
      <c r="B64" t="s">
        <v>213</v>
      </c>
      <c r="C64" t="s">
        <v>214</v>
      </c>
      <c r="D64" t="s">
        <v>44</v>
      </c>
      <c r="E64" t="s">
        <v>45</v>
      </c>
      <c r="F64">
        <v>7</v>
      </c>
      <c r="G64">
        <v>299</v>
      </c>
      <c r="H64">
        <v>2093</v>
      </c>
      <c r="I64" t="s">
        <v>53</v>
      </c>
      <c r="J64" t="s">
        <v>16</v>
      </c>
      <c r="L64" t="str">
        <f>IF(Table17[[#This Row],[Revenue]]&gt;7000,"VIP Customer","Customer")</f>
        <v>Customer</v>
      </c>
    </row>
    <row r="65" spans="1:12" x14ac:dyDescent="0.3">
      <c r="A65" t="s">
        <v>215</v>
      </c>
      <c r="B65" t="s">
        <v>216</v>
      </c>
      <c r="C65" t="s">
        <v>217</v>
      </c>
      <c r="D65" t="s">
        <v>49</v>
      </c>
      <c r="E65" t="s">
        <v>26</v>
      </c>
      <c r="F65">
        <v>2</v>
      </c>
      <c r="G65">
        <v>1354</v>
      </c>
      <c r="H65">
        <v>2708</v>
      </c>
      <c r="I65" t="s">
        <v>39</v>
      </c>
      <c r="J65" t="s">
        <v>27</v>
      </c>
      <c r="L65" t="str">
        <f>IF(Table17[[#This Row],[Revenue]]&gt;7000,"VIP Customer","Customer")</f>
        <v>Customer</v>
      </c>
    </row>
    <row r="66" spans="1:12" x14ac:dyDescent="0.3">
      <c r="A66" t="s">
        <v>218</v>
      </c>
      <c r="B66" t="s">
        <v>219</v>
      </c>
      <c r="C66" t="s">
        <v>220</v>
      </c>
      <c r="D66" t="s">
        <v>20</v>
      </c>
      <c r="E66" t="s">
        <v>45</v>
      </c>
      <c r="F66">
        <v>5</v>
      </c>
      <c r="G66">
        <v>1228</v>
      </c>
      <c r="H66">
        <v>6140</v>
      </c>
      <c r="I66" t="s">
        <v>21</v>
      </c>
      <c r="J66" t="s">
        <v>16</v>
      </c>
      <c r="L66" t="str">
        <f>IF(Table17[[#This Row],[Revenue]]&gt;7000,"VIP Customer","Customer")</f>
        <v>Customer</v>
      </c>
    </row>
    <row r="67" spans="1:12" x14ac:dyDescent="0.3">
      <c r="A67" t="s">
        <v>221</v>
      </c>
      <c r="B67" t="s">
        <v>222</v>
      </c>
      <c r="C67" t="s">
        <v>223</v>
      </c>
      <c r="D67" t="s">
        <v>44</v>
      </c>
      <c r="E67" t="s">
        <v>45</v>
      </c>
      <c r="F67">
        <v>3</v>
      </c>
      <c r="G67">
        <v>1616</v>
      </c>
      <c r="H67">
        <v>4848</v>
      </c>
      <c r="I67" t="s">
        <v>53</v>
      </c>
      <c r="J67" t="s">
        <v>40</v>
      </c>
      <c r="L67" t="str">
        <f>IF(Table17[[#This Row],[Revenue]]&gt;7000,"VIP Customer","Customer")</f>
        <v>Customer</v>
      </c>
    </row>
    <row r="68" spans="1:12" x14ac:dyDescent="0.3">
      <c r="A68" t="s">
        <v>224</v>
      </c>
      <c r="B68" t="s">
        <v>225</v>
      </c>
      <c r="C68" t="s">
        <v>226</v>
      </c>
      <c r="D68" t="s">
        <v>44</v>
      </c>
      <c r="E68" t="s">
        <v>31</v>
      </c>
      <c r="F68">
        <v>2</v>
      </c>
      <c r="G68">
        <v>952</v>
      </c>
      <c r="H68">
        <v>1904</v>
      </c>
      <c r="I68" t="s">
        <v>21</v>
      </c>
      <c r="J68" t="s">
        <v>27</v>
      </c>
      <c r="L68" t="str">
        <f>IF(Table17[[#This Row],[Revenue]]&gt;7000,"VIP Customer","Customer")</f>
        <v>Customer</v>
      </c>
    </row>
    <row r="69" spans="1:12" x14ac:dyDescent="0.3">
      <c r="A69" t="s">
        <v>227</v>
      </c>
      <c r="B69" t="s">
        <v>228</v>
      </c>
      <c r="C69" t="s">
        <v>229</v>
      </c>
      <c r="D69" t="s">
        <v>44</v>
      </c>
      <c r="E69" t="s">
        <v>26</v>
      </c>
      <c r="F69">
        <v>10</v>
      </c>
      <c r="G69">
        <v>447</v>
      </c>
      <c r="H69">
        <v>4470</v>
      </c>
      <c r="I69" t="s">
        <v>67</v>
      </c>
      <c r="J69" t="s">
        <v>27</v>
      </c>
      <c r="L69" t="str">
        <f>IF(Table17[[#This Row],[Revenue]]&gt;7000,"VIP Customer","Customer")</f>
        <v>Customer</v>
      </c>
    </row>
    <row r="70" spans="1:12" x14ac:dyDescent="0.3">
      <c r="A70" t="s">
        <v>230</v>
      </c>
      <c r="B70" t="s">
        <v>231</v>
      </c>
      <c r="C70" t="s">
        <v>232</v>
      </c>
      <c r="D70" t="s">
        <v>44</v>
      </c>
      <c r="E70" t="s">
        <v>86</v>
      </c>
      <c r="F70">
        <v>7</v>
      </c>
      <c r="G70">
        <v>412</v>
      </c>
      <c r="H70">
        <v>2884</v>
      </c>
      <c r="I70" t="s">
        <v>39</v>
      </c>
      <c r="J70" t="s">
        <v>40</v>
      </c>
      <c r="L70" t="str">
        <f>IF(Table17[[#This Row],[Revenue]]&gt;7000,"VIP Customer","Customer")</f>
        <v>Customer</v>
      </c>
    </row>
    <row r="71" spans="1:12" x14ac:dyDescent="0.3">
      <c r="A71" t="s">
        <v>233</v>
      </c>
      <c r="B71" t="s">
        <v>234</v>
      </c>
      <c r="C71" t="s">
        <v>235</v>
      </c>
      <c r="D71" t="s">
        <v>20</v>
      </c>
      <c r="E71" t="s">
        <v>26</v>
      </c>
      <c r="F71">
        <v>6</v>
      </c>
      <c r="G71">
        <v>1276</v>
      </c>
      <c r="H71">
        <v>7656</v>
      </c>
      <c r="I71" t="s">
        <v>53</v>
      </c>
      <c r="J71" t="s">
        <v>22</v>
      </c>
      <c r="L71" t="str">
        <f>IF(Table17[[#This Row],[Revenue]]&gt;7000,"VIP Customer","Customer")</f>
        <v>VIP Customer</v>
      </c>
    </row>
    <row r="72" spans="1:12" x14ac:dyDescent="0.3">
      <c r="A72" t="s">
        <v>236</v>
      </c>
      <c r="B72" t="s">
        <v>237</v>
      </c>
      <c r="C72" t="s">
        <v>238</v>
      </c>
      <c r="D72" t="s">
        <v>44</v>
      </c>
      <c r="E72" t="s">
        <v>60</v>
      </c>
      <c r="F72">
        <v>9</v>
      </c>
      <c r="G72">
        <v>1100</v>
      </c>
      <c r="H72">
        <v>9900</v>
      </c>
      <c r="I72" t="s">
        <v>39</v>
      </c>
      <c r="J72" t="s">
        <v>22</v>
      </c>
      <c r="L72" t="str">
        <f>IF(Table17[[#This Row],[Revenue]]&gt;7000,"VIP Customer","Customer")</f>
        <v>VIP Customer</v>
      </c>
    </row>
    <row r="73" spans="1:12" x14ac:dyDescent="0.3">
      <c r="A73" t="s">
        <v>239</v>
      </c>
      <c r="B73" t="s">
        <v>240</v>
      </c>
      <c r="C73" t="s">
        <v>241</v>
      </c>
      <c r="D73" t="s">
        <v>13</v>
      </c>
      <c r="E73" t="s">
        <v>60</v>
      </c>
      <c r="F73">
        <v>2</v>
      </c>
      <c r="G73">
        <v>1810</v>
      </c>
      <c r="H73">
        <v>3620</v>
      </c>
      <c r="I73" t="s">
        <v>35</v>
      </c>
      <c r="J73" t="s">
        <v>27</v>
      </c>
      <c r="L73" t="str">
        <f>IF(Table17[[#This Row],[Revenue]]&gt;7000,"VIP Customer","Customer")</f>
        <v>Customer</v>
      </c>
    </row>
    <row r="74" spans="1:12" x14ac:dyDescent="0.3">
      <c r="A74" t="s">
        <v>242</v>
      </c>
      <c r="B74" t="s">
        <v>243</v>
      </c>
      <c r="C74" t="s">
        <v>244</v>
      </c>
      <c r="D74" t="s">
        <v>44</v>
      </c>
      <c r="E74" t="s">
        <v>86</v>
      </c>
      <c r="F74">
        <v>8</v>
      </c>
      <c r="G74">
        <v>678</v>
      </c>
      <c r="H74">
        <v>5424</v>
      </c>
      <c r="I74" t="s">
        <v>53</v>
      </c>
      <c r="J74" t="s">
        <v>27</v>
      </c>
      <c r="L74" t="str">
        <f>IF(Table17[[#This Row],[Revenue]]&gt;7000,"VIP Customer","Customer")</f>
        <v>Customer</v>
      </c>
    </row>
    <row r="75" spans="1:12" x14ac:dyDescent="0.3">
      <c r="A75" t="s">
        <v>245</v>
      </c>
      <c r="B75" t="s">
        <v>246</v>
      </c>
      <c r="C75" t="s">
        <v>247</v>
      </c>
      <c r="D75" t="s">
        <v>44</v>
      </c>
      <c r="E75" t="s">
        <v>14</v>
      </c>
      <c r="F75">
        <v>8</v>
      </c>
      <c r="G75">
        <v>183</v>
      </c>
      <c r="H75">
        <v>1464</v>
      </c>
      <c r="I75" t="s">
        <v>15</v>
      </c>
      <c r="J75" t="s">
        <v>16</v>
      </c>
      <c r="L75" t="str">
        <f>IF(Table17[[#This Row],[Revenue]]&gt;7000,"VIP Customer","Customer")</f>
        <v>Customer</v>
      </c>
    </row>
    <row r="76" spans="1:12" x14ac:dyDescent="0.3">
      <c r="A76" t="s">
        <v>248</v>
      </c>
      <c r="B76" t="s">
        <v>249</v>
      </c>
      <c r="C76" t="s">
        <v>250</v>
      </c>
      <c r="D76" t="s">
        <v>49</v>
      </c>
      <c r="E76" t="s">
        <v>26</v>
      </c>
      <c r="F76">
        <v>9</v>
      </c>
      <c r="G76">
        <v>433</v>
      </c>
      <c r="H76">
        <v>3897</v>
      </c>
      <c r="I76" t="s">
        <v>21</v>
      </c>
      <c r="J76" t="s">
        <v>40</v>
      </c>
      <c r="L76" t="str">
        <f>IF(Table17[[#This Row],[Revenue]]&gt;7000,"VIP Customer","Customer")</f>
        <v>Customer</v>
      </c>
    </row>
    <row r="77" spans="1:12" x14ac:dyDescent="0.3">
      <c r="A77" t="s">
        <v>251</v>
      </c>
      <c r="B77" t="s">
        <v>252</v>
      </c>
      <c r="C77" t="s">
        <v>253</v>
      </c>
      <c r="D77" t="s">
        <v>13</v>
      </c>
      <c r="E77" t="s">
        <v>14</v>
      </c>
      <c r="F77">
        <v>6</v>
      </c>
      <c r="G77">
        <v>1799</v>
      </c>
      <c r="H77">
        <v>10794</v>
      </c>
      <c r="I77" t="s">
        <v>67</v>
      </c>
      <c r="J77" t="s">
        <v>22</v>
      </c>
      <c r="L77" t="str">
        <f>IF(Table17[[#This Row],[Revenue]]&gt;7000,"VIP Customer","Customer")</f>
        <v>VIP Customer</v>
      </c>
    </row>
    <row r="78" spans="1:12" x14ac:dyDescent="0.3">
      <c r="A78" t="s">
        <v>254</v>
      </c>
      <c r="B78" t="s">
        <v>255</v>
      </c>
      <c r="C78" t="s">
        <v>256</v>
      </c>
      <c r="D78" t="s">
        <v>20</v>
      </c>
      <c r="E78" t="s">
        <v>31</v>
      </c>
      <c r="F78">
        <v>6</v>
      </c>
      <c r="G78">
        <v>266</v>
      </c>
      <c r="H78">
        <v>1596</v>
      </c>
      <c r="I78" t="s">
        <v>67</v>
      </c>
      <c r="J78" t="s">
        <v>22</v>
      </c>
      <c r="L78" t="str">
        <f>IF(Table17[[#This Row],[Revenue]]&gt;7000,"VIP Customer","Customer")</f>
        <v>Customer</v>
      </c>
    </row>
    <row r="79" spans="1:12" x14ac:dyDescent="0.3">
      <c r="A79" t="s">
        <v>257</v>
      </c>
      <c r="B79" t="s">
        <v>249</v>
      </c>
      <c r="C79" t="s">
        <v>258</v>
      </c>
      <c r="D79" t="s">
        <v>13</v>
      </c>
      <c r="E79" t="s">
        <v>86</v>
      </c>
      <c r="F79">
        <v>6</v>
      </c>
      <c r="G79">
        <v>1703</v>
      </c>
      <c r="H79">
        <v>10218</v>
      </c>
      <c r="I79" t="s">
        <v>21</v>
      </c>
      <c r="J79" t="s">
        <v>22</v>
      </c>
      <c r="L79" t="str">
        <f>IF(Table17[[#This Row],[Revenue]]&gt;7000,"VIP Customer","Customer")</f>
        <v>VIP Customer</v>
      </c>
    </row>
    <row r="80" spans="1:12" x14ac:dyDescent="0.3">
      <c r="A80" t="s">
        <v>259</v>
      </c>
      <c r="B80" t="s">
        <v>260</v>
      </c>
      <c r="C80" t="s">
        <v>261</v>
      </c>
      <c r="D80" t="s">
        <v>13</v>
      </c>
      <c r="E80" t="s">
        <v>86</v>
      </c>
      <c r="F80">
        <v>7</v>
      </c>
      <c r="G80">
        <v>511</v>
      </c>
      <c r="H80">
        <v>3577</v>
      </c>
      <c r="I80" t="s">
        <v>67</v>
      </c>
      <c r="J80" t="s">
        <v>40</v>
      </c>
      <c r="L80" t="str">
        <f>IF(Table17[[#This Row],[Revenue]]&gt;7000,"VIP Customer","Customer")</f>
        <v>Customer</v>
      </c>
    </row>
    <row r="81" spans="1:12" x14ac:dyDescent="0.3">
      <c r="A81" t="s">
        <v>262</v>
      </c>
      <c r="B81" t="s">
        <v>263</v>
      </c>
      <c r="C81" t="s">
        <v>264</v>
      </c>
      <c r="D81" t="s">
        <v>13</v>
      </c>
      <c r="E81" t="s">
        <v>86</v>
      </c>
      <c r="F81">
        <v>2</v>
      </c>
      <c r="G81">
        <v>382</v>
      </c>
      <c r="H81">
        <v>764</v>
      </c>
      <c r="I81" t="s">
        <v>15</v>
      </c>
      <c r="J81" t="s">
        <v>40</v>
      </c>
      <c r="L81" t="str">
        <f>IF(Table17[[#This Row],[Revenue]]&gt;7000,"VIP Customer","Customer")</f>
        <v>Customer</v>
      </c>
    </row>
    <row r="82" spans="1:12" x14ac:dyDescent="0.3">
      <c r="A82" t="s">
        <v>265</v>
      </c>
      <c r="B82" t="s">
        <v>266</v>
      </c>
      <c r="C82" t="s">
        <v>267</v>
      </c>
      <c r="D82" t="s">
        <v>49</v>
      </c>
      <c r="E82" t="s">
        <v>45</v>
      </c>
      <c r="F82">
        <v>1</v>
      </c>
      <c r="G82">
        <v>475</v>
      </c>
      <c r="H82">
        <v>475</v>
      </c>
      <c r="I82" t="s">
        <v>67</v>
      </c>
      <c r="J82" t="s">
        <v>40</v>
      </c>
      <c r="L82" t="str">
        <f>IF(Table17[[#This Row],[Revenue]]&gt;7000,"VIP Customer","Customer")</f>
        <v>Customer</v>
      </c>
    </row>
    <row r="83" spans="1:12" x14ac:dyDescent="0.3">
      <c r="A83" t="s">
        <v>268</v>
      </c>
      <c r="B83" t="s">
        <v>269</v>
      </c>
      <c r="C83" t="s">
        <v>270</v>
      </c>
      <c r="D83" t="s">
        <v>13</v>
      </c>
      <c r="E83" t="s">
        <v>60</v>
      </c>
      <c r="F83">
        <v>10</v>
      </c>
      <c r="G83">
        <v>1023</v>
      </c>
      <c r="H83">
        <v>10230</v>
      </c>
      <c r="I83" t="s">
        <v>67</v>
      </c>
      <c r="J83" t="s">
        <v>16</v>
      </c>
      <c r="L83" t="str">
        <f>IF(Table17[[#This Row],[Revenue]]&gt;7000,"VIP Customer","Customer")</f>
        <v>VIP Customer</v>
      </c>
    </row>
    <row r="84" spans="1:12" x14ac:dyDescent="0.3">
      <c r="A84" t="s">
        <v>271</v>
      </c>
      <c r="B84" t="s">
        <v>272</v>
      </c>
      <c r="C84" t="s">
        <v>273</v>
      </c>
      <c r="D84" t="s">
        <v>49</v>
      </c>
      <c r="E84" t="s">
        <v>26</v>
      </c>
      <c r="F84">
        <v>1</v>
      </c>
      <c r="G84">
        <v>1993</v>
      </c>
      <c r="H84">
        <v>1993</v>
      </c>
      <c r="I84" t="s">
        <v>35</v>
      </c>
      <c r="J84" t="s">
        <v>22</v>
      </c>
      <c r="L84" t="str">
        <f>IF(Table17[[#This Row],[Revenue]]&gt;7000,"VIP Customer","Customer")</f>
        <v>Customer</v>
      </c>
    </row>
    <row r="85" spans="1:12" x14ac:dyDescent="0.3">
      <c r="A85" t="s">
        <v>274</v>
      </c>
      <c r="B85" t="s">
        <v>187</v>
      </c>
      <c r="C85" t="s">
        <v>275</v>
      </c>
      <c r="D85" t="s">
        <v>20</v>
      </c>
      <c r="E85" t="s">
        <v>60</v>
      </c>
      <c r="F85">
        <v>7</v>
      </c>
      <c r="G85">
        <v>407</v>
      </c>
      <c r="H85">
        <v>2849</v>
      </c>
      <c r="I85" t="s">
        <v>39</v>
      </c>
      <c r="J85" t="s">
        <v>27</v>
      </c>
      <c r="L85" t="str">
        <f>IF(Table17[[#This Row],[Revenue]]&gt;7000,"VIP Customer","Customer")</f>
        <v>Customer</v>
      </c>
    </row>
    <row r="86" spans="1:12" x14ac:dyDescent="0.3">
      <c r="A86" t="s">
        <v>276</v>
      </c>
      <c r="B86" t="s">
        <v>277</v>
      </c>
      <c r="C86" t="s">
        <v>278</v>
      </c>
      <c r="D86" t="s">
        <v>44</v>
      </c>
      <c r="E86" t="s">
        <v>31</v>
      </c>
      <c r="F86">
        <v>7</v>
      </c>
      <c r="G86">
        <v>257</v>
      </c>
      <c r="H86">
        <v>1799</v>
      </c>
      <c r="I86" t="s">
        <v>35</v>
      </c>
      <c r="J86" t="s">
        <v>27</v>
      </c>
      <c r="L86" t="str">
        <f>IF(Table17[[#This Row],[Revenue]]&gt;7000,"VIP Customer","Customer")</f>
        <v>Customer</v>
      </c>
    </row>
    <row r="87" spans="1:12" x14ac:dyDescent="0.3">
      <c r="A87" t="s">
        <v>279</v>
      </c>
      <c r="B87" t="s">
        <v>280</v>
      </c>
      <c r="C87" t="s">
        <v>281</v>
      </c>
      <c r="D87" t="s">
        <v>13</v>
      </c>
      <c r="E87" t="s">
        <v>86</v>
      </c>
      <c r="F87">
        <v>10</v>
      </c>
      <c r="G87">
        <v>286</v>
      </c>
      <c r="H87">
        <v>2860</v>
      </c>
      <c r="I87" t="s">
        <v>21</v>
      </c>
      <c r="J87" t="s">
        <v>27</v>
      </c>
      <c r="L87" t="str">
        <f>IF(Table17[[#This Row],[Revenue]]&gt;7000,"VIP Customer","Customer")</f>
        <v>Customer</v>
      </c>
    </row>
    <row r="88" spans="1:12" x14ac:dyDescent="0.3">
      <c r="A88" t="s">
        <v>282</v>
      </c>
      <c r="B88" t="s">
        <v>283</v>
      </c>
      <c r="C88" t="s">
        <v>284</v>
      </c>
      <c r="D88" t="s">
        <v>44</v>
      </c>
      <c r="E88" t="s">
        <v>26</v>
      </c>
      <c r="F88">
        <v>1</v>
      </c>
      <c r="G88">
        <v>1765</v>
      </c>
      <c r="H88">
        <v>1765</v>
      </c>
      <c r="I88" t="s">
        <v>39</v>
      </c>
      <c r="J88" t="s">
        <v>40</v>
      </c>
      <c r="L88" t="str">
        <f>IF(Table17[[#This Row],[Revenue]]&gt;7000,"VIP Customer","Customer")</f>
        <v>Customer</v>
      </c>
    </row>
    <row r="89" spans="1:12" x14ac:dyDescent="0.3">
      <c r="A89" t="s">
        <v>285</v>
      </c>
      <c r="B89" t="s">
        <v>286</v>
      </c>
      <c r="C89" t="s">
        <v>287</v>
      </c>
      <c r="D89" t="s">
        <v>44</v>
      </c>
      <c r="E89" t="s">
        <v>45</v>
      </c>
      <c r="F89">
        <v>6</v>
      </c>
      <c r="G89">
        <v>1964</v>
      </c>
      <c r="H89">
        <v>11784</v>
      </c>
      <c r="I89" t="s">
        <v>67</v>
      </c>
      <c r="J89" t="s">
        <v>27</v>
      </c>
      <c r="L89" t="str">
        <f>IF(Table17[[#This Row],[Revenue]]&gt;7000,"VIP Customer","Customer")</f>
        <v>VIP Customer</v>
      </c>
    </row>
    <row r="90" spans="1:12" x14ac:dyDescent="0.3">
      <c r="A90" t="s">
        <v>288</v>
      </c>
      <c r="B90" t="s">
        <v>289</v>
      </c>
      <c r="C90" t="s">
        <v>290</v>
      </c>
      <c r="D90" t="s">
        <v>49</v>
      </c>
      <c r="E90" t="s">
        <v>86</v>
      </c>
      <c r="F90">
        <v>4</v>
      </c>
      <c r="G90">
        <v>1628</v>
      </c>
      <c r="H90">
        <v>6512</v>
      </c>
      <c r="I90" t="s">
        <v>35</v>
      </c>
      <c r="J90" t="s">
        <v>22</v>
      </c>
      <c r="L90" t="str">
        <f>IF(Table17[[#This Row],[Revenue]]&gt;7000,"VIP Customer","Customer")</f>
        <v>Customer</v>
      </c>
    </row>
    <row r="91" spans="1:12" x14ac:dyDescent="0.3">
      <c r="A91" t="s">
        <v>291</v>
      </c>
      <c r="B91" t="s">
        <v>33</v>
      </c>
      <c r="C91" t="s">
        <v>292</v>
      </c>
      <c r="D91" t="s">
        <v>49</v>
      </c>
      <c r="E91" t="s">
        <v>14</v>
      </c>
      <c r="F91">
        <v>5</v>
      </c>
      <c r="G91">
        <v>1526</v>
      </c>
      <c r="H91">
        <v>7630</v>
      </c>
      <c r="I91" t="s">
        <v>67</v>
      </c>
      <c r="J91" t="s">
        <v>16</v>
      </c>
      <c r="L91" t="str">
        <f>IF(Table17[[#This Row],[Revenue]]&gt;7000,"VIP Customer","Customer")</f>
        <v>VIP Customer</v>
      </c>
    </row>
    <row r="92" spans="1:12" x14ac:dyDescent="0.3">
      <c r="A92" t="s">
        <v>293</v>
      </c>
      <c r="B92" t="s">
        <v>294</v>
      </c>
      <c r="C92" t="s">
        <v>295</v>
      </c>
      <c r="D92" t="s">
        <v>20</v>
      </c>
      <c r="E92" t="s">
        <v>60</v>
      </c>
      <c r="F92">
        <v>4</v>
      </c>
      <c r="G92">
        <v>1236</v>
      </c>
      <c r="H92">
        <v>4944</v>
      </c>
      <c r="I92" t="s">
        <v>21</v>
      </c>
      <c r="J92" t="s">
        <v>16</v>
      </c>
      <c r="L92" t="str">
        <f>IF(Table17[[#This Row],[Revenue]]&gt;7000,"VIP Customer","Customer")</f>
        <v>Customer</v>
      </c>
    </row>
    <row r="93" spans="1:12" x14ac:dyDescent="0.3">
      <c r="A93" t="s">
        <v>296</v>
      </c>
      <c r="B93" t="s">
        <v>297</v>
      </c>
      <c r="C93" t="s">
        <v>298</v>
      </c>
      <c r="D93" t="s">
        <v>49</v>
      </c>
      <c r="E93" t="s">
        <v>14</v>
      </c>
      <c r="F93">
        <v>7</v>
      </c>
      <c r="G93">
        <v>847</v>
      </c>
      <c r="H93">
        <v>5929</v>
      </c>
      <c r="I93" t="s">
        <v>53</v>
      </c>
      <c r="J93" t="s">
        <v>16</v>
      </c>
      <c r="L93" t="str">
        <f>IF(Table17[[#This Row],[Revenue]]&gt;7000,"VIP Customer","Customer")</f>
        <v>Customer</v>
      </c>
    </row>
    <row r="94" spans="1:12" x14ac:dyDescent="0.3">
      <c r="A94" t="s">
        <v>299</v>
      </c>
      <c r="B94" t="s">
        <v>277</v>
      </c>
      <c r="C94" t="s">
        <v>300</v>
      </c>
      <c r="D94" t="s">
        <v>44</v>
      </c>
      <c r="E94" t="s">
        <v>60</v>
      </c>
      <c r="F94">
        <v>1</v>
      </c>
      <c r="G94">
        <v>273</v>
      </c>
      <c r="H94">
        <v>273</v>
      </c>
      <c r="I94" t="s">
        <v>35</v>
      </c>
      <c r="J94" t="s">
        <v>16</v>
      </c>
      <c r="L94" t="str">
        <f>IF(Table17[[#This Row],[Revenue]]&gt;7000,"VIP Customer","Customer")</f>
        <v>Customer</v>
      </c>
    </row>
    <row r="95" spans="1:12" x14ac:dyDescent="0.3">
      <c r="A95" t="s">
        <v>301</v>
      </c>
      <c r="B95" t="s">
        <v>302</v>
      </c>
      <c r="C95" t="s">
        <v>303</v>
      </c>
      <c r="D95" t="s">
        <v>20</v>
      </c>
      <c r="E95" t="s">
        <v>26</v>
      </c>
      <c r="F95">
        <v>3</v>
      </c>
      <c r="G95">
        <v>1037</v>
      </c>
      <c r="H95">
        <v>3111</v>
      </c>
      <c r="I95" t="s">
        <v>21</v>
      </c>
      <c r="J95" t="s">
        <v>22</v>
      </c>
      <c r="L95" t="str">
        <f>IF(Table17[[#This Row],[Revenue]]&gt;7000,"VIP Customer","Customer")</f>
        <v>Customer</v>
      </c>
    </row>
    <row r="96" spans="1:12" x14ac:dyDescent="0.3">
      <c r="A96" t="s">
        <v>304</v>
      </c>
      <c r="B96" t="s">
        <v>305</v>
      </c>
      <c r="C96" t="s">
        <v>306</v>
      </c>
      <c r="D96" t="s">
        <v>20</v>
      </c>
      <c r="E96" t="s">
        <v>31</v>
      </c>
      <c r="F96">
        <v>8</v>
      </c>
      <c r="G96">
        <v>1202</v>
      </c>
      <c r="H96">
        <v>9616</v>
      </c>
      <c r="I96" t="s">
        <v>67</v>
      </c>
      <c r="J96" t="s">
        <v>16</v>
      </c>
      <c r="L96" t="str">
        <f>IF(Table17[[#This Row],[Revenue]]&gt;7000,"VIP Customer","Customer")</f>
        <v>VIP Customer</v>
      </c>
    </row>
    <row r="97" spans="1:12" x14ac:dyDescent="0.3">
      <c r="A97" t="s">
        <v>307</v>
      </c>
      <c r="B97" t="s">
        <v>308</v>
      </c>
      <c r="C97" t="s">
        <v>309</v>
      </c>
      <c r="D97" t="s">
        <v>44</v>
      </c>
      <c r="E97" t="s">
        <v>60</v>
      </c>
      <c r="F97">
        <v>8</v>
      </c>
      <c r="G97">
        <v>1361</v>
      </c>
      <c r="H97">
        <v>10888</v>
      </c>
      <c r="I97" t="s">
        <v>53</v>
      </c>
      <c r="J97" t="s">
        <v>16</v>
      </c>
      <c r="L97" t="str">
        <f>IF(Table17[[#This Row],[Revenue]]&gt;7000,"VIP Customer","Customer")</f>
        <v>VIP Customer</v>
      </c>
    </row>
    <row r="98" spans="1:12" x14ac:dyDescent="0.3">
      <c r="A98" t="s">
        <v>310</v>
      </c>
      <c r="B98" t="s">
        <v>311</v>
      </c>
      <c r="C98" t="s">
        <v>312</v>
      </c>
      <c r="D98" t="s">
        <v>44</v>
      </c>
      <c r="E98" t="s">
        <v>26</v>
      </c>
      <c r="F98">
        <v>7</v>
      </c>
      <c r="G98">
        <v>251</v>
      </c>
      <c r="H98">
        <v>1757</v>
      </c>
      <c r="I98" t="s">
        <v>15</v>
      </c>
      <c r="J98" t="s">
        <v>40</v>
      </c>
      <c r="L98" t="str">
        <f>IF(Table17[[#This Row],[Revenue]]&gt;7000,"VIP Customer","Customer")</f>
        <v>Customer</v>
      </c>
    </row>
    <row r="99" spans="1:12" x14ac:dyDescent="0.3">
      <c r="A99" t="s">
        <v>313</v>
      </c>
      <c r="B99" t="s">
        <v>314</v>
      </c>
      <c r="C99" t="s">
        <v>315</v>
      </c>
      <c r="D99" t="s">
        <v>49</v>
      </c>
      <c r="E99" t="s">
        <v>86</v>
      </c>
      <c r="F99">
        <v>1</v>
      </c>
      <c r="G99">
        <v>1131</v>
      </c>
      <c r="H99">
        <v>1131</v>
      </c>
      <c r="I99" t="s">
        <v>15</v>
      </c>
      <c r="J99" t="s">
        <v>40</v>
      </c>
      <c r="L99" t="str">
        <f>IF(Table17[[#This Row],[Revenue]]&gt;7000,"VIP Customer","Customer")</f>
        <v>Customer</v>
      </c>
    </row>
    <row r="100" spans="1:12" x14ac:dyDescent="0.3">
      <c r="A100" t="s">
        <v>316</v>
      </c>
      <c r="B100" t="s">
        <v>317</v>
      </c>
      <c r="C100" t="s">
        <v>318</v>
      </c>
      <c r="D100" t="s">
        <v>49</v>
      </c>
      <c r="E100" t="s">
        <v>14</v>
      </c>
      <c r="F100">
        <v>6</v>
      </c>
      <c r="G100">
        <v>776</v>
      </c>
      <c r="H100">
        <v>4656</v>
      </c>
      <c r="I100" t="s">
        <v>53</v>
      </c>
      <c r="J100" t="s">
        <v>16</v>
      </c>
      <c r="L100" t="str">
        <f>IF(Table17[[#This Row],[Revenue]]&gt;7000,"VIP Customer","Customer")</f>
        <v>Customer</v>
      </c>
    </row>
    <row r="101" spans="1:12" x14ac:dyDescent="0.3">
      <c r="A101" t="s">
        <v>319</v>
      </c>
      <c r="B101" t="s">
        <v>320</v>
      </c>
      <c r="C101" t="s">
        <v>321</v>
      </c>
      <c r="D101" t="s">
        <v>13</v>
      </c>
      <c r="E101" t="s">
        <v>14</v>
      </c>
      <c r="F101">
        <v>2</v>
      </c>
      <c r="G101">
        <v>681</v>
      </c>
      <c r="H101">
        <v>1362</v>
      </c>
      <c r="I101" t="s">
        <v>67</v>
      </c>
      <c r="J101" t="s">
        <v>16</v>
      </c>
      <c r="L101" t="str">
        <f>IF(Table17[[#This Row],[Revenue]]&gt;7000,"VIP Customer","Customer")</f>
        <v>Customer</v>
      </c>
    </row>
  </sheetData>
  <dataValidations count="3">
    <dataValidation type="list" allowBlank="1" showInputMessage="1" showErrorMessage="1" promptTitle="Customer Status" sqref="A1:J101" xr:uid="{EC166597-B764-48AB-A211-89E168630351}">
      <formula1>$L$1</formula1>
    </dataValidation>
    <dataValidation type="list" allowBlank="1" showInputMessage="1" showErrorMessage="1" errorTitle="customer" error="Not eligible for tax" promptTitle="customer type" prompt="Eligible for tax_x000a_Not Eligible for tax" sqref="M2:M101" xr:uid="{4C8A80E4-7EDA-40A3-B291-8FAFE55B44FE}">
      <formula1>$N$1</formula1>
    </dataValidation>
    <dataValidation type="list" allowBlank="1" showInputMessage="1" showErrorMessage="1" errorTitle="customer" error="Not eligible for tax" prompt="Eligible for tax_x000a_Not Eligible for tax" sqref="M1" xr:uid="{EF6691D0-2A73-4B7A-8DA5-E8CFAF17C859}">
      <formula1>$N$1</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DC827-F34C-49E3-941A-7A75C60A9E19}">
  <dimension ref="A1:R101"/>
  <sheetViews>
    <sheetView workbookViewId="0">
      <selection activeCell="W24" sqref="W24"/>
    </sheetView>
  </sheetViews>
  <sheetFormatPr defaultRowHeight="14.4" x14ac:dyDescent="0.3"/>
  <cols>
    <col min="1" max="1" width="13" bestFit="1" customWidth="1"/>
    <col min="2" max="2" width="15.109375" bestFit="1" customWidth="1"/>
    <col min="3" max="3" width="20.5546875" bestFit="1" customWidth="1"/>
    <col min="4" max="4" width="11.21875" bestFit="1" customWidth="1"/>
    <col min="5" max="5" width="12.109375" bestFit="1" customWidth="1"/>
    <col min="6" max="6" width="12.77734375" bestFit="1" customWidth="1"/>
    <col min="7" max="7" width="14.109375" bestFit="1" customWidth="1"/>
    <col min="8" max="8" width="12.77734375" bestFit="1" customWidth="1"/>
    <col min="9" max="9" width="15.44140625" bestFit="1" customWidth="1"/>
    <col min="10" max="10" width="20.88671875" bestFit="1" customWidth="1"/>
  </cols>
  <sheetData>
    <row r="1" spans="1:18" x14ac:dyDescent="0.3">
      <c r="A1" s="1" t="s">
        <v>0</v>
      </c>
      <c r="B1" s="1" t="s">
        <v>1</v>
      </c>
      <c r="C1" s="1" t="s">
        <v>2</v>
      </c>
      <c r="D1" s="1" t="s">
        <v>3</v>
      </c>
      <c r="E1" s="1" t="s">
        <v>4</v>
      </c>
      <c r="F1" s="1" t="s">
        <v>5</v>
      </c>
      <c r="G1" s="1" t="s">
        <v>6</v>
      </c>
      <c r="H1" s="1" t="s">
        <v>7</v>
      </c>
      <c r="I1" s="1" t="s">
        <v>8</v>
      </c>
      <c r="J1" s="1" t="s">
        <v>9</v>
      </c>
      <c r="R1" s="9" t="s">
        <v>372</v>
      </c>
    </row>
    <row r="2" spans="1:18" x14ac:dyDescent="0.3">
      <c r="A2" t="s">
        <v>10</v>
      </c>
      <c r="B2" t="s">
        <v>11</v>
      </c>
      <c r="C2" t="s">
        <v>12</v>
      </c>
      <c r="D2" t="s">
        <v>13</v>
      </c>
      <c r="E2" t="s">
        <v>14</v>
      </c>
      <c r="F2">
        <v>8</v>
      </c>
      <c r="G2">
        <v>960</v>
      </c>
      <c r="H2">
        <v>7680</v>
      </c>
      <c r="I2" t="s">
        <v>15</v>
      </c>
      <c r="J2" t="s">
        <v>16</v>
      </c>
    </row>
    <row r="3" spans="1:18" x14ac:dyDescent="0.3">
      <c r="A3" t="s">
        <v>17</v>
      </c>
      <c r="B3" t="s">
        <v>18</v>
      </c>
      <c r="C3" t="s">
        <v>19</v>
      </c>
      <c r="D3" t="s">
        <v>20</v>
      </c>
      <c r="E3" t="s">
        <v>14</v>
      </c>
      <c r="F3">
        <v>8</v>
      </c>
      <c r="G3">
        <v>897</v>
      </c>
      <c r="H3">
        <v>7176</v>
      </c>
      <c r="I3" t="s">
        <v>21</v>
      </c>
      <c r="J3" t="s">
        <v>22</v>
      </c>
    </row>
    <row r="4" spans="1:18" x14ac:dyDescent="0.3">
      <c r="A4" t="s">
        <v>23</v>
      </c>
      <c r="B4" t="s">
        <v>24</v>
      </c>
      <c r="C4" t="s">
        <v>25</v>
      </c>
      <c r="D4" t="s">
        <v>13</v>
      </c>
      <c r="E4" t="s">
        <v>26</v>
      </c>
      <c r="F4">
        <v>6</v>
      </c>
      <c r="G4">
        <v>959</v>
      </c>
      <c r="H4">
        <v>5754</v>
      </c>
      <c r="I4" t="s">
        <v>21</v>
      </c>
      <c r="J4" t="s">
        <v>27</v>
      </c>
    </row>
    <row r="5" spans="1:18" x14ac:dyDescent="0.3">
      <c r="A5" t="s">
        <v>28</v>
      </c>
      <c r="B5" t="s">
        <v>29</v>
      </c>
      <c r="C5" t="s">
        <v>30</v>
      </c>
      <c r="D5" t="s">
        <v>13</v>
      </c>
      <c r="E5" t="s">
        <v>31</v>
      </c>
      <c r="F5">
        <v>10</v>
      </c>
      <c r="G5">
        <v>1065</v>
      </c>
      <c r="H5">
        <v>10650</v>
      </c>
      <c r="I5" t="s">
        <v>21</v>
      </c>
      <c r="J5" t="s">
        <v>27</v>
      </c>
    </row>
    <row r="6" spans="1:18" x14ac:dyDescent="0.3">
      <c r="A6" t="s">
        <v>32</v>
      </c>
      <c r="B6" t="s">
        <v>33</v>
      </c>
      <c r="C6" t="s">
        <v>34</v>
      </c>
      <c r="D6" t="s">
        <v>20</v>
      </c>
      <c r="E6" t="s">
        <v>31</v>
      </c>
      <c r="F6">
        <v>4</v>
      </c>
      <c r="G6">
        <v>978</v>
      </c>
      <c r="H6">
        <v>3912</v>
      </c>
      <c r="I6" t="s">
        <v>35</v>
      </c>
      <c r="J6" t="s">
        <v>16</v>
      </c>
    </row>
    <row r="7" spans="1:18" x14ac:dyDescent="0.3">
      <c r="A7" t="s">
        <v>36</v>
      </c>
      <c r="B7" t="s">
        <v>37</v>
      </c>
      <c r="C7" t="s">
        <v>38</v>
      </c>
      <c r="D7" t="s">
        <v>20</v>
      </c>
      <c r="E7" t="s">
        <v>14</v>
      </c>
      <c r="F7">
        <v>7</v>
      </c>
      <c r="G7">
        <v>785</v>
      </c>
      <c r="H7">
        <v>5495</v>
      </c>
      <c r="I7" t="s">
        <v>39</v>
      </c>
      <c r="J7" t="s">
        <v>40</v>
      </c>
    </row>
    <row r="8" spans="1:18" x14ac:dyDescent="0.3">
      <c r="A8" t="s">
        <v>41</v>
      </c>
      <c r="B8" t="s">
        <v>42</v>
      </c>
      <c r="C8" t="s">
        <v>43</v>
      </c>
      <c r="D8" t="s">
        <v>44</v>
      </c>
      <c r="E8" t="s">
        <v>45</v>
      </c>
      <c r="F8">
        <v>4</v>
      </c>
      <c r="G8">
        <v>474</v>
      </c>
      <c r="H8">
        <v>1896</v>
      </c>
      <c r="I8" t="s">
        <v>15</v>
      </c>
      <c r="J8" t="s">
        <v>16</v>
      </c>
    </row>
    <row r="9" spans="1:18" x14ac:dyDescent="0.3">
      <c r="A9" t="s">
        <v>46</v>
      </c>
      <c r="B9" t="s">
        <v>47</v>
      </c>
      <c r="C9" t="s">
        <v>48</v>
      </c>
      <c r="D9" t="s">
        <v>49</v>
      </c>
      <c r="E9" t="s">
        <v>14</v>
      </c>
      <c r="F9">
        <v>4</v>
      </c>
      <c r="G9">
        <v>1934</v>
      </c>
      <c r="H9">
        <v>7736</v>
      </c>
      <c r="I9" t="s">
        <v>15</v>
      </c>
      <c r="J9" t="s">
        <v>40</v>
      </c>
    </row>
    <row r="10" spans="1:18" x14ac:dyDescent="0.3">
      <c r="A10" t="s">
        <v>50</v>
      </c>
      <c r="B10" t="s">
        <v>51</v>
      </c>
      <c r="C10" t="s">
        <v>52</v>
      </c>
      <c r="D10" t="s">
        <v>49</v>
      </c>
      <c r="E10" t="s">
        <v>31</v>
      </c>
      <c r="F10">
        <v>2</v>
      </c>
      <c r="G10">
        <v>599</v>
      </c>
      <c r="H10">
        <v>1198</v>
      </c>
      <c r="I10" t="s">
        <v>53</v>
      </c>
      <c r="J10" t="s">
        <v>27</v>
      </c>
    </row>
    <row r="11" spans="1:18" x14ac:dyDescent="0.3">
      <c r="A11" t="s">
        <v>54</v>
      </c>
      <c r="B11" t="s">
        <v>55</v>
      </c>
      <c r="C11" t="s">
        <v>56</v>
      </c>
      <c r="D11" t="s">
        <v>20</v>
      </c>
      <c r="E11" t="s">
        <v>31</v>
      </c>
      <c r="F11">
        <v>6</v>
      </c>
      <c r="G11">
        <v>1476</v>
      </c>
      <c r="H11">
        <v>8856</v>
      </c>
      <c r="I11" t="s">
        <v>15</v>
      </c>
      <c r="J11" t="s">
        <v>40</v>
      </c>
    </row>
    <row r="12" spans="1:18" x14ac:dyDescent="0.3">
      <c r="A12" t="s">
        <v>57</v>
      </c>
      <c r="B12" t="s">
        <v>58</v>
      </c>
      <c r="C12" t="s">
        <v>59</v>
      </c>
      <c r="D12" t="s">
        <v>49</v>
      </c>
      <c r="E12" t="s">
        <v>60</v>
      </c>
      <c r="F12">
        <v>5</v>
      </c>
      <c r="G12">
        <v>1331</v>
      </c>
      <c r="H12">
        <v>6655</v>
      </c>
      <c r="I12" t="s">
        <v>35</v>
      </c>
      <c r="J12" t="s">
        <v>27</v>
      </c>
    </row>
    <row r="13" spans="1:18" x14ac:dyDescent="0.3">
      <c r="A13" t="s">
        <v>61</v>
      </c>
      <c r="B13" t="s">
        <v>62</v>
      </c>
      <c r="C13" t="s">
        <v>63</v>
      </c>
      <c r="D13" t="s">
        <v>13</v>
      </c>
      <c r="E13" t="s">
        <v>14</v>
      </c>
      <c r="F13">
        <v>5</v>
      </c>
      <c r="G13">
        <v>678</v>
      </c>
      <c r="H13">
        <v>3390</v>
      </c>
      <c r="I13" t="s">
        <v>35</v>
      </c>
      <c r="J13" t="s">
        <v>27</v>
      </c>
    </row>
    <row r="14" spans="1:18" x14ac:dyDescent="0.3">
      <c r="A14" t="s">
        <v>64</v>
      </c>
      <c r="B14" t="s">
        <v>65</v>
      </c>
      <c r="C14" t="s">
        <v>66</v>
      </c>
      <c r="D14" t="s">
        <v>13</v>
      </c>
      <c r="E14" t="s">
        <v>60</v>
      </c>
      <c r="F14">
        <v>4</v>
      </c>
      <c r="G14">
        <v>1808</v>
      </c>
      <c r="H14">
        <v>7232</v>
      </c>
      <c r="I14" t="s">
        <v>67</v>
      </c>
      <c r="J14" t="s">
        <v>22</v>
      </c>
    </row>
    <row r="15" spans="1:18" x14ac:dyDescent="0.3">
      <c r="A15" t="s">
        <v>68</v>
      </c>
      <c r="B15" t="s">
        <v>69</v>
      </c>
      <c r="C15" t="s">
        <v>70</v>
      </c>
      <c r="D15" t="s">
        <v>13</v>
      </c>
      <c r="E15" t="s">
        <v>45</v>
      </c>
      <c r="F15">
        <v>1</v>
      </c>
      <c r="G15">
        <v>1141</v>
      </c>
      <c r="H15">
        <v>1141</v>
      </c>
      <c r="I15" t="s">
        <v>67</v>
      </c>
      <c r="J15" t="s">
        <v>27</v>
      </c>
    </row>
    <row r="16" spans="1:18" x14ac:dyDescent="0.3">
      <c r="A16" t="s">
        <v>71</v>
      </c>
      <c r="B16" t="s">
        <v>72</v>
      </c>
      <c r="C16" t="s">
        <v>73</v>
      </c>
      <c r="D16" t="s">
        <v>20</v>
      </c>
      <c r="E16" t="s">
        <v>31</v>
      </c>
      <c r="F16">
        <v>6</v>
      </c>
      <c r="G16">
        <v>1433</v>
      </c>
      <c r="H16">
        <v>8598</v>
      </c>
      <c r="I16" t="s">
        <v>15</v>
      </c>
      <c r="J16" t="s">
        <v>27</v>
      </c>
    </row>
    <row r="17" spans="1:10" x14ac:dyDescent="0.3">
      <c r="A17" t="s">
        <v>74</v>
      </c>
      <c r="B17" t="s">
        <v>75</v>
      </c>
      <c r="C17" t="s">
        <v>76</v>
      </c>
      <c r="D17" t="s">
        <v>20</v>
      </c>
      <c r="E17" t="s">
        <v>14</v>
      </c>
      <c r="F17">
        <v>1</v>
      </c>
      <c r="G17">
        <v>1766</v>
      </c>
      <c r="H17">
        <v>1766</v>
      </c>
      <c r="I17" t="s">
        <v>39</v>
      </c>
      <c r="J17" t="s">
        <v>22</v>
      </c>
    </row>
    <row r="18" spans="1:10" x14ac:dyDescent="0.3">
      <c r="A18" t="s">
        <v>77</v>
      </c>
      <c r="B18" t="s">
        <v>78</v>
      </c>
      <c r="C18" t="s">
        <v>79</v>
      </c>
      <c r="D18" t="s">
        <v>13</v>
      </c>
      <c r="E18" t="s">
        <v>14</v>
      </c>
      <c r="F18">
        <v>10</v>
      </c>
      <c r="G18">
        <v>1878</v>
      </c>
      <c r="H18">
        <v>18780</v>
      </c>
      <c r="I18" t="s">
        <v>21</v>
      </c>
      <c r="J18" t="s">
        <v>22</v>
      </c>
    </row>
    <row r="19" spans="1:10" x14ac:dyDescent="0.3">
      <c r="A19" t="s">
        <v>80</v>
      </c>
      <c r="B19" t="s">
        <v>81</v>
      </c>
      <c r="C19" t="s">
        <v>82</v>
      </c>
      <c r="D19" t="s">
        <v>49</v>
      </c>
      <c r="E19" t="s">
        <v>14</v>
      </c>
      <c r="F19">
        <v>9</v>
      </c>
      <c r="G19">
        <v>1103</v>
      </c>
      <c r="H19">
        <v>9927</v>
      </c>
      <c r="I19" t="s">
        <v>53</v>
      </c>
      <c r="J19" t="s">
        <v>40</v>
      </c>
    </row>
    <row r="20" spans="1:10" x14ac:dyDescent="0.3">
      <c r="A20" t="s">
        <v>83</v>
      </c>
      <c r="B20" t="s">
        <v>84</v>
      </c>
      <c r="C20" t="s">
        <v>85</v>
      </c>
      <c r="D20" t="s">
        <v>20</v>
      </c>
      <c r="E20" t="s">
        <v>86</v>
      </c>
      <c r="F20">
        <v>9</v>
      </c>
      <c r="G20">
        <v>921</v>
      </c>
      <c r="H20">
        <v>8289</v>
      </c>
      <c r="I20" t="s">
        <v>53</v>
      </c>
      <c r="J20" t="s">
        <v>40</v>
      </c>
    </row>
    <row r="21" spans="1:10" x14ac:dyDescent="0.3">
      <c r="A21" t="s">
        <v>87</v>
      </c>
      <c r="B21" t="s">
        <v>88</v>
      </c>
      <c r="C21" t="s">
        <v>89</v>
      </c>
      <c r="D21" t="s">
        <v>49</v>
      </c>
      <c r="E21" t="s">
        <v>26</v>
      </c>
      <c r="F21">
        <v>3</v>
      </c>
      <c r="G21">
        <v>1080</v>
      </c>
      <c r="H21">
        <v>3240</v>
      </c>
      <c r="I21" t="s">
        <v>35</v>
      </c>
      <c r="J21" t="s">
        <v>40</v>
      </c>
    </row>
    <row r="22" spans="1:10" x14ac:dyDescent="0.3">
      <c r="A22" t="s">
        <v>90</v>
      </c>
      <c r="B22" t="s">
        <v>91</v>
      </c>
      <c r="C22" t="s">
        <v>92</v>
      </c>
      <c r="D22" t="s">
        <v>20</v>
      </c>
      <c r="E22" t="s">
        <v>31</v>
      </c>
      <c r="F22">
        <v>6</v>
      </c>
      <c r="G22">
        <v>1764</v>
      </c>
      <c r="H22">
        <v>10584</v>
      </c>
      <c r="I22" t="s">
        <v>35</v>
      </c>
      <c r="J22" t="s">
        <v>40</v>
      </c>
    </row>
    <row r="23" spans="1:10" x14ac:dyDescent="0.3">
      <c r="A23" t="s">
        <v>93</v>
      </c>
      <c r="B23" t="s">
        <v>65</v>
      </c>
      <c r="C23" t="s">
        <v>94</v>
      </c>
      <c r="D23" t="s">
        <v>44</v>
      </c>
      <c r="E23" t="s">
        <v>14</v>
      </c>
      <c r="F23">
        <v>10</v>
      </c>
      <c r="G23">
        <v>865</v>
      </c>
      <c r="H23">
        <v>8650</v>
      </c>
      <c r="I23" t="s">
        <v>67</v>
      </c>
      <c r="J23" t="s">
        <v>16</v>
      </c>
    </row>
    <row r="24" spans="1:10" x14ac:dyDescent="0.3">
      <c r="A24" t="s">
        <v>95</v>
      </c>
      <c r="B24" t="s">
        <v>96</v>
      </c>
      <c r="C24" t="s">
        <v>97</v>
      </c>
      <c r="D24" t="s">
        <v>49</v>
      </c>
      <c r="E24" t="s">
        <v>60</v>
      </c>
      <c r="F24">
        <v>5</v>
      </c>
      <c r="G24">
        <v>1177</v>
      </c>
      <c r="H24">
        <v>5885</v>
      </c>
      <c r="I24" t="s">
        <v>15</v>
      </c>
      <c r="J24" t="s">
        <v>40</v>
      </c>
    </row>
    <row r="25" spans="1:10" x14ac:dyDescent="0.3">
      <c r="A25" t="s">
        <v>98</v>
      </c>
      <c r="B25" t="s">
        <v>99</v>
      </c>
      <c r="C25" t="s">
        <v>100</v>
      </c>
      <c r="D25" t="s">
        <v>44</v>
      </c>
      <c r="E25" t="s">
        <v>31</v>
      </c>
      <c r="F25">
        <v>7</v>
      </c>
      <c r="G25">
        <v>888</v>
      </c>
      <c r="H25">
        <v>6216</v>
      </c>
      <c r="I25" t="s">
        <v>67</v>
      </c>
      <c r="J25" t="s">
        <v>16</v>
      </c>
    </row>
    <row r="26" spans="1:10" x14ac:dyDescent="0.3">
      <c r="A26" t="s">
        <v>101</v>
      </c>
      <c r="B26" t="s">
        <v>102</v>
      </c>
      <c r="C26" t="s">
        <v>103</v>
      </c>
      <c r="D26" t="s">
        <v>20</v>
      </c>
      <c r="E26" t="s">
        <v>14</v>
      </c>
      <c r="F26">
        <v>1</v>
      </c>
      <c r="G26">
        <v>1875</v>
      </c>
      <c r="H26">
        <v>1875</v>
      </c>
      <c r="I26" t="s">
        <v>39</v>
      </c>
      <c r="J26" t="s">
        <v>22</v>
      </c>
    </row>
    <row r="27" spans="1:10" x14ac:dyDescent="0.3">
      <c r="A27" t="s">
        <v>104</v>
      </c>
      <c r="B27" t="s">
        <v>105</v>
      </c>
      <c r="C27" t="s">
        <v>106</v>
      </c>
      <c r="D27" t="s">
        <v>49</v>
      </c>
      <c r="E27" t="s">
        <v>31</v>
      </c>
      <c r="F27">
        <v>2</v>
      </c>
      <c r="G27">
        <v>1778</v>
      </c>
      <c r="H27">
        <v>3556</v>
      </c>
      <c r="I27" t="s">
        <v>39</v>
      </c>
      <c r="J27" t="s">
        <v>22</v>
      </c>
    </row>
    <row r="28" spans="1:10" x14ac:dyDescent="0.3">
      <c r="A28" t="s">
        <v>107</v>
      </c>
      <c r="B28" t="s">
        <v>108</v>
      </c>
      <c r="C28" t="s">
        <v>109</v>
      </c>
      <c r="D28" t="s">
        <v>13</v>
      </c>
      <c r="E28" t="s">
        <v>14</v>
      </c>
      <c r="F28">
        <v>7</v>
      </c>
      <c r="G28">
        <v>291</v>
      </c>
      <c r="H28">
        <v>2037</v>
      </c>
      <c r="I28" t="s">
        <v>15</v>
      </c>
      <c r="J28" t="s">
        <v>40</v>
      </c>
    </row>
    <row r="29" spans="1:10" x14ac:dyDescent="0.3">
      <c r="A29" t="s">
        <v>110</v>
      </c>
      <c r="B29" t="s">
        <v>111</v>
      </c>
      <c r="C29" t="s">
        <v>112</v>
      </c>
      <c r="D29" t="s">
        <v>13</v>
      </c>
      <c r="E29" t="s">
        <v>31</v>
      </c>
      <c r="F29">
        <v>10</v>
      </c>
      <c r="G29">
        <v>1960</v>
      </c>
      <c r="H29">
        <v>19600</v>
      </c>
      <c r="I29" t="s">
        <v>53</v>
      </c>
      <c r="J29" t="s">
        <v>22</v>
      </c>
    </row>
    <row r="30" spans="1:10" x14ac:dyDescent="0.3">
      <c r="A30" t="s">
        <v>113</v>
      </c>
      <c r="B30" t="s">
        <v>114</v>
      </c>
      <c r="C30" t="s">
        <v>115</v>
      </c>
      <c r="D30" t="s">
        <v>20</v>
      </c>
      <c r="E30" t="s">
        <v>26</v>
      </c>
      <c r="F30">
        <v>3</v>
      </c>
      <c r="G30">
        <v>798</v>
      </c>
      <c r="H30">
        <v>2394</v>
      </c>
      <c r="I30" t="s">
        <v>15</v>
      </c>
      <c r="J30" t="s">
        <v>16</v>
      </c>
    </row>
    <row r="31" spans="1:10" x14ac:dyDescent="0.3">
      <c r="A31" t="s">
        <v>116</v>
      </c>
      <c r="B31" t="s">
        <v>117</v>
      </c>
      <c r="C31" t="s">
        <v>118</v>
      </c>
      <c r="D31" t="s">
        <v>20</v>
      </c>
      <c r="E31" t="s">
        <v>26</v>
      </c>
      <c r="F31">
        <v>3</v>
      </c>
      <c r="G31">
        <v>1945</v>
      </c>
      <c r="H31">
        <v>5835</v>
      </c>
      <c r="I31" t="s">
        <v>21</v>
      </c>
      <c r="J31" t="s">
        <v>16</v>
      </c>
    </row>
    <row r="32" spans="1:10" x14ac:dyDescent="0.3">
      <c r="A32" t="s">
        <v>119</v>
      </c>
      <c r="B32" t="s">
        <v>120</v>
      </c>
      <c r="C32" t="s">
        <v>121</v>
      </c>
      <c r="D32" t="s">
        <v>44</v>
      </c>
      <c r="E32" t="s">
        <v>26</v>
      </c>
      <c r="F32">
        <v>2</v>
      </c>
      <c r="G32">
        <v>1190</v>
      </c>
      <c r="H32">
        <v>2380</v>
      </c>
      <c r="I32" t="s">
        <v>35</v>
      </c>
      <c r="J32" t="s">
        <v>16</v>
      </c>
    </row>
    <row r="33" spans="1:10" x14ac:dyDescent="0.3">
      <c r="A33" t="s">
        <v>122</v>
      </c>
      <c r="B33" t="s">
        <v>123</v>
      </c>
      <c r="C33" t="s">
        <v>124</v>
      </c>
      <c r="D33" t="s">
        <v>13</v>
      </c>
      <c r="E33" t="s">
        <v>26</v>
      </c>
      <c r="F33">
        <v>3</v>
      </c>
      <c r="G33">
        <v>1481</v>
      </c>
      <c r="H33">
        <v>4443</v>
      </c>
      <c r="I33" t="s">
        <v>39</v>
      </c>
      <c r="J33" t="s">
        <v>22</v>
      </c>
    </row>
    <row r="34" spans="1:10" x14ac:dyDescent="0.3">
      <c r="A34" t="s">
        <v>125</v>
      </c>
      <c r="B34" t="s">
        <v>126</v>
      </c>
      <c r="C34" t="s">
        <v>127</v>
      </c>
      <c r="D34" t="s">
        <v>13</v>
      </c>
      <c r="E34" t="s">
        <v>60</v>
      </c>
      <c r="F34">
        <v>10</v>
      </c>
      <c r="G34">
        <v>1840</v>
      </c>
      <c r="H34">
        <v>18400</v>
      </c>
      <c r="I34" t="s">
        <v>39</v>
      </c>
      <c r="J34" t="s">
        <v>16</v>
      </c>
    </row>
    <row r="35" spans="1:10" x14ac:dyDescent="0.3">
      <c r="A35" t="s">
        <v>128</v>
      </c>
      <c r="B35" t="s">
        <v>129</v>
      </c>
      <c r="C35" t="s">
        <v>130</v>
      </c>
      <c r="D35" t="s">
        <v>49</v>
      </c>
      <c r="E35" t="s">
        <v>86</v>
      </c>
      <c r="F35">
        <v>4</v>
      </c>
      <c r="G35">
        <v>285</v>
      </c>
      <c r="H35">
        <v>1140</v>
      </c>
      <c r="I35" t="s">
        <v>21</v>
      </c>
      <c r="J35" t="s">
        <v>22</v>
      </c>
    </row>
    <row r="36" spans="1:10" x14ac:dyDescent="0.3">
      <c r="A36" t="s">
        <v>131</v>
      </c>
      <c r="B36" t="s">
        <v>132</v>
      </c>
      <c r="C36" t="s">
        <v>133</v>
      </c>
      <c r="D36" t="s">
        <v>49</v>
      </c>
      <c r="E36" t="s">
        <v>31</v>
      </c>
      <c r="F36">
        <v>7</v>
      </c>
      <c r="G36">
        <v>424</v>
      </c>
      <c r="H36">
        <v>2968</v>
      </c>
      <c r="I36" t="s">
        <v>39</v>
      </c>
      <c r="J36" t="s">
        <v>40</v>
      </c>
    </row>
    <row r="37" spans="1:10" x14ac:dyDescent="0.3">
      <c r="A37" t="s">
        <v>134</v>
      </c>
      <c r="B37" t="s">
        <v>135</v>
      </c>
      <c r="C37" t="s">
        <v>136</v>
      </c>
      <c r="D37" t="s">
        <v>13</v>
      </c>
      <c r="E37" t="s">
        <v>86</v>
      </c>
      <c r="F37">
        <v>2</v>
      </c>
      <c r="G37">
        <v>1531</v>
      </c>
      <c r="H37">
        <v>3062</v>
      </c>
      <c r="I37" t="s">
        <v>53</v>
      </c>
      <c r="J37" t="s">
        <v>27</v>
      </c>
    </row>
    <row r="38" spans="1:10" x14ac:dyDescent="0.3">
      <c r="A38" t="s">
        <v>137</v>
      </c>
      <c r="B38" t="s">
        <v>138</v>
      </c>
      <c r="C38" t="s">
        <v>139</v>
      </c>
      <c r="D38" t="s">
        <v>13</v>
      </c>
      <c r="E38" t="s">
        <v>45</v>
      </c>
      <c r="F38">
        <v>9</v>
      </c>
      <c r="G38">
        <v>256</v>
      </c>
      <c r="H38">
        <v>2304</v>
      </c>
      <c r="I38" t="s">
        <v>15</v>
      </c>
      <c r="J38" t="s">
        <v>40</v>
      </c>
    </row>
    <row r="39" spans="1:10" x14ac:dyDescent="0.3">
      <c r="A39" t="s">
        <v>140</v>
      </c>
      <c r="B39" t="s">
        <v>141</v>
      </c>
      <c r="C39" t="s">
        <v>142</v>
      </c>
      <c r="D39" t="s">
        <v>13</v>
      </c>
      <c r="E39" t="s">
        <v>45</v>
      </c>
      <c r="F39">
        <v>10</v>
      </c>
      <c r="G39">
        <v>212</v>
      </c>
      <c r="H39">
        <v>2120</v>
      </c>
      <c r="I39" t="s">
        <v>39</v>
      </c>
      <c r="J39" t="s">
        <v>27</v>
      </c>
    </row>
    <row r="40" spans="1:10" x14ac:dyDescent="0.3">
      <c r="A40" t="s">
        <v>143</v>
      </c>
      <c r="B40" t="s">
        <v>144</v>
      </c>
      <c r="C40" t="s">
        <v>145</v>
      </c>
      <c r="D40" t="s">
        <v>13</v>
      </c>
      <c r="E40" t="s">
        <v>31</v>
      </c>
      <c r="F40">
        <v>6</v>
      </c>
      <c r="G40">
        <v>753</v>
      </c>
      <c r="H40">
        <v>4518</v>
      </c>
      <c r="I40" t="s">
        <v>67</v>
      </c>
      <c r="J40" t="s">
        <v>16</v>
      </c>
    </row>
    <row r="41" spans="1:10" x14ac:dyDescent="0.3">
      <c r="A41" t="s">
        <v>146</v>
      </c>
      <c r="B41" t="s">
        <v>147</v>
      </c>
      <c r="C41" t="s">
        <v>148</v>
      </c>
      <c r="D41" t="s">
        <v>20</v>
      </c>
      <c r="E41" t="s">
        <v>31</v>
      </c>
      <c r="F41">
        <v>4</v>
      </c>
      <c r="G41">
        <v>1443</v>
      </c>
      <c r="H41">
        <v>5772</v>
      </c>
      <c r="I41" t="s">
        <v>21</v>
      </c>
      <c r="J41" t="s">
        <v>16</v>
      </c>
    </row>
    <row r="42" spans="1:10" x14ac:dyDescent="0.3">
      <c r="A42" t="s">
        <v>149</v>
      </c>
      <c r="B42" t="s">
        <v>150</v>
      </c>
      <c r="C42" t="s">
        <v>151</v>
      </c>
      <c r="D42" t="s">
        <v>13</v>
      </c>
      <c r="E42" t="s">
        <v>31</v>
      </c>
      <c r="F42">
        <v>3</v>
      </c>
      <c r="G42">
        <v>1930</v>
      </c>
      <c r="H42">
        <v>5790</v>
      </c>
      <c r="I42" t="s">
        <v>39</v>
      </c>
      <c r="J42" t="s">
        <v>16</v>
      </c>
    </row>
    <row r="43" spans="1:10" x14ac:dyDescent="0.3">
      <c r="A43" t="s">
        <v>152</v>
      </c>
      <c r="B43" t="s">
        <v>120</v>
      </c>
      <c r="C43" t="s">
        <v>153</v>
      </c>
      <c r="D43" t="s">
        <v>49</v>
      </c>
      <c r="E43" t="s">
        <v>31</v>
      </c>
      <c r="F43">
        <v>9</v>
      </c>
      <c r="G43">
        <v>1394</v>
      </c>
      <c r="H43">
        <v>12546</v>
      </c>
      <c r="I43" t="s">
        <v>53</v>
      </c>
      <c r="J43" t="s">
        <v>22</v>
      </c>
    </row>
    <row r="44" spans="1:10" x14ac:dyDescent="0.3">
      <c r="A44" t="s">
        <v>154</v>
      </c>
      <c r="B44" t="s">
        <v>155</v>
      </c>
      <c r="C44" t="s">
        <v>156</v>
      </c>
      <c r="D44" t="s">
        <v>20</v>
      </c>
      <c r="E44" t="s">
        <v>31</v>
      </c>
      <c r="F44">
        <v>3</v>
      </c>
      <c r="G44">
        <v>529</v>
      </c>
      <c r="H44">
        <v>1587</v>
      </c>
      <c r="I44" t="s">
        <v>15</v>
      </c>
      <c r="J44" t="s">
        <v>27</v>
      </c>
    </row>
    <row r="45" spans="1:10" x14ac:dyDescent="0.3">
      <c r="A45" t="s">
        <v>157</v>
      </c>
      <c r="B45" t="s">
        <v>158</v>
      </c>
      <c r="C45" t="s">
        <v>159</v>
      </c>
      <c r="D45" t="s">
        <v>44</v>
      </c>
      <c r="E45" t="s">
        <v>26</v>
      </c>
      <c r="F45">
        <v>6</v>
      </c>
      <c r="G45">
        <v>1816</v>
      </c>
      <c r="H45">
        <v>10896</v>
      </c>
      <c r="I45" t="s">
        <v>15</v>
      </c>
      <c r="J45" t="s">
        <v>22</v>
      </c>
    </row>
    <row r="46" spans="1:10" x14ac:dyDescent="0.3">
      <c r="A46" t="s">
        <v>160</v>
      </c>
      <c r="B46" t="s">
        <v>161</v>
      </c>
      <c r="C46" t="s">
        <v>162</v>
      </c>
      <c r="D46" t="s">
        <v>20</v>
      </c>
      <c r="E46" t="s">
        <v>14</v>
      </c>
      <c r="F46">
        <v>5</v>
      </c>
      <c r="G46">
        <v>1252</v>
      </c>
      <c r="H46">
        <v>6260</v>
      </c>
      <c r="I46" t="s">
        <v>67</v>
      </c>
      <c r="J46" t="s">
        <v>16</v>
      </c>
    </row>
    <row r="47" spans="1:10" x14ac:dyDescent="0.3">
      <c r="A47" t="s">
        <v>163</v>
      </c>
      <c r="B47" t="s">
        <v>164</v>
      </c>
      <c r="C47" t="s">
        <v>165</v>
      </c>
      <c r="D47" t="s">
        <v>20</v>
      </c>
      <c r="E47" t="s">
        <v>86</v>
      </c>
      <c r="F47">
        <v>2</v>
      </c>
      <c r="G47">
        <v>1846</v>
      </c>
      <c r="H47">
        <v>3692</v>
      </c>
      <c r="I47" t="s">
        <v>35</v>
      </c>
      <c r="J47" t="s">
        <v>40</v>
      </c>
    </row>
    <row r="48" spans="1:10" x14ac:dyDescent="0.3">
      <c r="A48" t="s">
        <v>166</v>
      </c>
      <c r="B48" t="s">
        <v>167</v>
      </c>
      <c r="C48" t="s">
        <v>168</v>
      </c>
      <c r="D48" t="s">
        <v>49</v>
      </c>
      <c r="E48" t="s">
        <v>86</v>
      </c>
      <c r="F48">
        <v>1</v>
      </c>
      <c r="G48">
        <v>1316</v>
      </c>
      <c r="H48">
        <v>1316</v>
      </c>
      <c r="I48" t="s">
        <v>21</v>
      </c>
      <c r="J48" t="s">
        <v>16</v>
      </c>
    </row>
    <row r="49" spans="1:10" x14ac:dyDescent="0.3">
      <c r="A49" t="s">
        <v>169</v>
      </c>
      <c r="B49" t="s">
        <v>88</v>
      </c>
      <c r="C49" t="s">
        <v>170</v>
      </c>
      <c r="D49" t="s">
        <v>13</v>
      </c>
      <c r="E49" t="s">
        <v>31</v>
      </c>
      <c r="F49">
        <v>7</v>
      </c>
      <c r="G49">
        <v>1539</v>
      </c>
      <c r="H49">
        <v>10773</v>
      </c>
      <c r="I49" t="s">
        <v>15</v>
      </c>
      <c r="J49" t="s">
        <v>40</v>
      </c>
    </row>
    <row r="50" spans="1:10" x14ac:dyDescent="0.3">
      <c r="A50" t="s">
        <v>171</v>
      </c>
      <c r="B50" t="s">
        <v>172</v>
      </c>
      <c r="C50" t="s">
        <v>173</v>
      </c>
      <c r="D50" t="s">
        <v>44</v>
      </c>
      <c r="E50" t="s">
        <v>14</v>
      </c>
      <c r="F50">
        <v>1</v>
      </c>
      <c r="G50">
        <v>184</v>
      </c>
      <c r="H50">
        <v>184</v>
      </c>
      <c r="I50" t="s">
        <v>35</v>
      </c>
      <c r="J50" t="s">
        <v>16</v>
      </c>
    </row>
    <row r="51" spans="1:10" x14ac:dyDescent="0.3">
      <c r="A51" t="s">
        <v>174</v>
      </c>
      <c r="B51" t="s">
        <v>175</v>
      </c>
      <c r="C51" t="s">
        <v>176</v>
      </c>
      <c r="D51" t="s">
        <v>20</v>
      </c>
      <c r="E51" t="s">
        <v>45</v>
      </c>
      <c r="F51">
        <v>6</v>
      </c>
      <c r="G51">
        <v>1468</v>
      </c>
      <c r="H51">
        <v>8808</v>
      </c>
      <c r="I51" t="s">
        <v>35</v>
      </c>
      <c r="J51" t="s">
        <v>16</v>
      </c>
    </row>
    <row r="52" spans="1:10" x14ac:dyDescent="0.3">
      <c r="A52" t="s">
        <v>177</v>
      </c>
      <c r="B52" t="s">
        <v>178</v>
      </c>
      <c r="C52" t="s">
        <v>179</v>
      </c>
      <c r="D52" t="s">
        <v>13</v>
      </c>
      <c r="E52" t="s">
        <v>60</v>
      </c>
      <c r="F52">
        <v>6</v>
      </c>
      <c r="G52">
        <v>536</v>
      </c>
      <c r="H52">
        <v>3216</v>
      </c>
      <c r="I52" t="s">
        <v>39</v>
      </c>
      <c r="J52" t="s">
        <v>22</v>
      </c>
    </row>
    <row r="53" spans="1:10" x14ac:dyDescent="0.3">
      <c r="A53" t="s">
        <v>180</v>
      </c>
      <c r="B53" t="s">
        <v>181</v>
      </c>
      <c r="C53" t="s">
        <v>182</v>
      </c>
      <c r="D53" t="s">
        <v>49</v>
      </c>
      <c r="E53" t="s">
        <v>26</v>
      </c>
      <c r="F53">
        <v>2</v>
      </c>
      <c r="G53">
        <v>1214</v>
      </c>
      <c r="H53">
        <v>2428</v>
      </c>
      <c r="I53" t="s">
        <v>35</v>
      </c>
      <c r="J53" t="s">
        <v>22</v>
      </c>
    </row>
    <row r="54" spans="1:10" x14ac:dyDescent="0.3">
      <c r="A54" t="s">
        <v>183</v>
      </c>
      <c r="B54" t="s">
        <v>184</v>
      </c>
      <c r="C54" t="s">
        <v>185</v>
      </c>
      <c r="D54" t="s">
        <v>13</v>
      </c>
      <c r="E54" t="s">
        <v>60</v>
      </c>
      <c r="F54">
        <v>5</v>
      </c>
      <c r="G54">
        <v>572</v>
      </c>
      <c r="H54">
        <v>2860</v>
      </c>
      <c r="I54" t="s">
        <v>67</v>
      </c>
      <c r="J54" t="s">
        <v>16</v>
      </c>
    </row>
    <row r="55" spans="1:10" x14ac:dyDescent="0.3">
      <c r="A55" t="s">
        <v>186</v>
      </c>
      <c r="B55" t="s">
        <v>187</v>
      </c>
      <c r="C55" t="s">
        <v>188</v>
      </c>
      <c r="D55" t="s">
        <v>13</v>
      </c>
      <c r="E55" t="s">
        <v>26</v>
      </c>
      <c r="F55">
        <v>5</v>
      </c>
      <c r="G55">
        <v>275</v>
      </c>
      <c r="H55">
        <v>1375</v>
      </c>
      <c r="I55" t="s">
        <v>53</v>
      </c>
      <c r="J55" t="s">
        <v>22</v>
      </c>
    </row>
    <row r="56" spans="1:10" x14ac:dyDescent="0.3">
      <c r="A56" t="s">
        <v>189</v>
      </c>
      <c r="B56" t="s">
        <v>190</v>
      </c>
      <c r="C56" t="s">
        <v>191</v>
      </c>
      <c r="D56" t="s">
        <v>20</v>
      </c>
      <c r="E56" t="s">
        <v>86</v>
      </c>
      <c r="F56">
        <v>3</v>
      </c>
      <c r="G56">
        <v>1329</v>
      </c>
      <c r="H56">
        <v>3987</v>
      </c>
      <c r="I56" t="s">
        <v>35</v>
      </c>
      <c r="J56" t="s">
        <v>22</v>
      </c>
    </row>
    <row r="57" spans="1:10" x14ac:dyDescent="0.3">
      <c r="A57" t="s">
        <v>192</v>
      </c>
      <c r="B57" t="s">
        <v>29</v>
      </c>
      <c r="C57" t="s">
        <v>193</v>
      </c>
      <c r="D57" t="s">
        <v>49</v>
      </c>
      <c r="E57" t="s">
        <v>26</v>
      </c>
      <c r="F57">
        <v>4</v>
      </c>
      <c r="G57">
        <v>1586</v>
      </c>
      <c r="H57">
        <v>6344</v>
      </c>
      <c r="I57" t="s">
        <v>35</v>
      </c>
      <c r="J57" t="s">
        <v>27</v>
      </c>
    </row>
    <row r="58" spans="1:10" x14ac:dyDescent="0.3">
      <c r="A58" t="s">
        <v>194</v>
      </c>
      <c r="B58" t="s">
        <v>195</v>
      </c>
      <c r="C58" t="s">
        <v>196</v>
      </c>
      <c r="D58" t="s">
        <v>49</v>
      </c>
      <c r="E58" t="s">
        <v>14</v>
      </c>
      <c r="F58">
        <v>6</v>
      </c>
      <c r="G58">
        <v>467</v>
      </c>
      <c r="H58">
        <v>2802</v>
      </c>
      <c r="I58" t="s">
        <v>35</v>
      </c>
      <c r="J58" t="s">
        <v>16</v>
      </c>
    </row>
    <row r="59" spans="1:10" x14ac:dyDescent="0.3">
      <c r="A59" t="s">
        <v>197</v>
      </c>
      <c r="B59" t="s">
        <v>198</v>
      </c>
      <c r="C59" t="s">
        <v>199</v>
      </c>
      <c r="D59" t="s">
        <v>49</v>
      </c>
      <c r="E59" t="s">
        <v>86</v>
      </c>
      <c r="F59">
        <v>5</v>
      </c>
      <c r="G59">
        <v>1113</v>
      </c>
      <c r="H59">
        <v>5565</v>
      </c>
      <c r="I59" t="s">
        <v>15</v>
      </c>
      <c r="J59" t="s">
        <v>40</v>
      </c>
    </row>
    <row r="60" spans="1:10" x14ac:dyDescent="0.3">
      <c r="A60" t="s">
        <v>200</v>
      </c>
      <c r="B60" t="s">
        <v>201</v>
      </c>
      <c r="C60" t="s">
        <v>202</v>
      </c>
      <c r="D60" t="s">
        <v>49</v>
      </c>
      <c r="E60" t="s">
        <v>14</v>
      </c>
      <c r="F60">
        <v>2</v>
      </c>
      <c r="G60">
        <v>1540</v>
      </c>
      <c r="H60">
        <v>3080</v>
      </c>
      <c r="I60" t="s">
        <v>21</v>
      </c>
      <c r="J60" t="s">
        <v>27</v>
      </c>
    </row>
    <row r="61" spans="1:10" x14ac:dyDescent="0.3">
      <c r="A61" t="s">
        <v>203</v>
      </c>
      <c r="B61" t="s">
        <v>204</v>
      </c>
      <c r="C61" t="s">
        <v>205</v>
      </c>
      <c r="D61" t="s">
        <v>20</v>
      </c>
      <c r="E61" t="s">
        <v>26</v>
      </c>
      <c r="F61">
        <v>7</v>
      </c>
      <c r="G61">
        <v>1454</v>
      </c>
      <c r="H61">
        <v>10178</v>
      </c>
      <c r="I61" t="s">
        <v>39</v>
      </c>
      <c r="J61" t="s">
        <v>16</v>
      </c>
    </row>
    <row r="62" spans="1:10" x14ac:dyDescent="0.3">
      <c r="A62" t="s">
        <v>206</v>
      </c>
      <c r="B62" t="s">
        <v>207</v>
      </c>
      <c r="C62" t="s">
        <v>208</v>
      </c>
      <c r="D62" t="s">
        <v>44</v>
      </c>
      <c r="E62" t="s">
        <v>45</v>
      </c>
      <c r="F62">
        <v>4</v>
      </c>
      <c r="G62">
        <v>1433</v>
      </c>
      <c r="H62">
        <v>5732</v>
      </c>
      <c r="I62" t="s">
        <v>15</v>
      </c>
      <c r="J62" t="s">
        <v>40</v>
      </c>
    </row>
    <row r="63" spans="1:10" x14ac:dyDescent="0.3">
      <c r="A63" t="s">
        <v>209</v>
      </c>
      <c r="B63" t="s">
        <v>210</v>
      </c>
      <c r="C63" t="s">
        <v>211</v>
      </c>
      <c r="D63" t="s">
        <v>49</v>
      </c>
      <c r="E63" t="s">
        <v>45</v>
      </c>
      <c r="F63">
        <v>9</v>
      </c>
      <c r="G63">
        <v>1993</v>
      </c>
      <c r="H63">
        <v>17937</v>
      </c>
      <c r="I63" t="s">
        <v>21</v>
      </c>
      <c r="J63" t="s">
        <v>40</v>
      </c>
    </row>
    <row r="64" spans="1:10" x14ac:dyDescent="0.3">
      <c r="A64" t="s">
        <v>212</v>
      </c>
      <c r="B64" t="s">
        <v>213</v>
      </c>
      <c r="C64" t="s">
        <v>214</v>
      </c>
      <c r="D64" t="s">
        <v>44</v>
      </c>
      <c r="E64" t="s">
        <v>45</v>
      </c>
      <c r="F64">
        <v>7</v>
      </c>
      <c r="G64">
        <v>299</v>
      </c>
      <c r="H64">
        <v>2093</v>
      </c>
      <c r="I64" t="s">
        <v>53</v>
      </c>
      <c r="J64" t="s">
        <v>16</v>
      </c>
    </row>
    <row r="65" spans="1:10" x14ac:dyDescent="0.3">
      <c r="A65" t="s">
        <v>215</v>
      </c>
      <c r="B65" t="s">
        <v>216</v>
      </c>
      <c r="C65" t="s">
        <v>217</v>
      </c>
      <c r="D65" t="s">
        <v>49</v>
      </c>
      <c r="E65" t="s">
        <v>26</v>
      </c>
      <c r="F65">
        <v>2</v>
      </c>
      <c r="G65">
        <v>1354</v>
      </c>
      <c r="H65">
        <v>2708</v>
      </c>
      <c r="I65" t="s">
        <v>39</v>
      </c>
      <c r="J65" t="s">
        <v>27</v>
      </c>
    </row>
    <row r="66" spans="1:10" x14ac:dyDescent="0.3">
      <c r="A66" t="s">
        <v>218</v>
      </c>
      <c r="B66" t="s">
        <v>219</v>
      </c>
      <c r="C66" t="s">
        <v>220</v>
      </c>
      <c r="D66" t="s">
        <v>20</v>
      </c>
      <c r="E66" t="s">
        <v>45</v>
      </c>
      <c r="F66">
        <v>5</v>
      </c>
      <c r="G66">
        <v>1228</v>
      </c>
      <c r="H66">
        <v>6140</v>
      </c>
      <c r="I66" t="s">
        <v>21</v>
      </c>
      <c r="J66" t="s">
        <v>16</v>
      </c>
    </row>
    <row r="67" spans="1:10" x14ac:dyDescent="0.3">
      <c r="A67" t="s">
        <v>221</v>
      </c>
      <c r="B67" t="s">
        <v>222</v>
      </c>
      <c r="C67" t="s">
        <v>223</v>
      </c>
      <c r="D67" t="s">
        <v>44</v>
      </c>
      <c r="E67" t="s">
        <v>45</v>
      </c>
      <c r="F67">
        <v>3</v>
      </c>
      <c r="G67">
        <v>1616</v>
      </c>
      <c r="H67">
        <v>4848</v>
      </c>
      <c r="I67" t="s">
        <v>53</v>
      </c>
      <c r="J67" t="s">
        <v>40</v>
      </c>
    </row>
    <row r="68" spans="1:10" x14ac:dyDescent="0.3">
      <c r="A68" t="s">
        <v>224</v>
      </c>
      <c r="B68" t="s">
        <v>225</v>
      </c>
      <c r="C68" t="s">
        <v>226</v>
      </c>
      <c r="D68" t="s">
        <v>44</v>
      </c>
      <c r="E68" t="s">
        <v>31</v>
      </c>
      <c r="F68">
        <v>2</v>
      </c>
      <c r="G68">
        <v>952</v>
      </c>
      <c r="H68">
        <v>1904</v>
      </c>
      <c r="I68" t="s">
        <v>21</v>
      </c>
      <c r="J68" t="s">
        <v>27</v>
      </c>
    </row>
    <row r="69" spans="1:10" x14ac:dyDescent="0.3">
      <c r="A69" t="s">
        <v>227</v>
      </c>
      <c r="B69" t="s">
        <v>228</v>
      </c>
      <c r="C69" t="s">
        <v>229</v>
      </c>
      <c r="D69" t="s">
        <v>44</v>
      </c>
      <c r="E69" t="s">
        <v>26</v>
      </c>
      <c r="F69">
        <v>10</v>
      </c>
      <c r="G69">
        <v>447</v>
      </c>
      <c r="H69">
        <v>4470</v>
      </c>
      <c r="I69" t="s">
        <v>67</v>
      </c>
      <c r="J69" t="s">
        <v>27</v>
      </c>
    </row>
    <row r="70" spans="1:10" x14ac:dyDescent="0.3">
      <c r="A70" t="s">
        <v>230</v>
      </c>
      <c r="B70" t="s">
        <v>231</v>
      </c>
      <c r="C70" t="s">
        <v>232</v>
      </c>
      <c r="D70" t="s">
        <v>44</v>
      </c>
      <c r="E70" t="s">
        <v>86</v>
      </c>
      <c r="F70">
        <v>7</v>
      </c>
      <c r="G70">
        <v>412</v>
      </c>
      <c r="H70">
        <v>2884</v>
      </c>
      <c r="I70" t="s">
        <v>39</v>
      </c>
      <c r="J70" t="s">
        <v>40</v>
      </c>
    </row>
    <row r="71" spans="1:10" x14ac:dyDescent="0.3">
      <c r="A71" t="s">
        <v>233</v>
      </c>
      <c r="B71" t="s">
        <v>234</v>
      </c>
      <c r="C71" t="s">
        <v>235</v>
      </c>
      <c r="D71" t="s">
        <v>20</v>
      </c>
      <c r="E71" t="s">
        <v>26</v>
      </c>
      <c r="F71">
        <v>6</v>
      </c>
      <c r="G71">
        <v>1276</v>
      </c>
      <c r="H71">
        <v>7656</v>
      </c>
      <c r="I71" t="s">
        <v>53</v>
      </c>
      <c r="J71" t="s">
        <v>22</v>
      </c>
    </row>
    <row r="72" spans="1:10" x14ac:dyDescent="0.3">
      <c r="A72" t="s">
        <v>236</v>
      </c>
      <c r="B72" t="s">
        <v>237</v>
      </c>
      <c r="C72" t="s">
        <v>238</v>
      </c>
      <c r="D72" t="s">
        <v>44</v>
      </c>
      <c r="E72" t="s">
        <v>60</v>
      </c>
      <c r="F72">
        <v>9</v>
      </c>
      <c r="G72">
        <v>1100</v>
      </c>
      <c r="H72">
        <v>9900</v>
      </c>
      <c r="I72" t="s">
        <v>39</v>
      </c>
      <c r="J72" t="s">
        <v>22</v>
      </c>
    </row>
    <row r="73" spans="1:10" x14ac:dyDescent="0.3">
      <c r="A73" t="s">
        <v>239</v>
      </c>
      <c r="B73" t="s">
        <v>240</v>
      </c>
      <c r="C73" t="s">
        <v>241</v>
      </c>
      <c r="D73" t="s">
        <v>13</v>
      </c>
      <c r="E73" t="s">
        <v>60</v>
      </c>
      <c r="F73">
        <v>2</v>
      </c>
      <c r="G73">
        <v>1810</v>
      </c>
      <c r="H73">
        <v>3620</v>
      </c>
      <c r="I73" t="s">
        <v>35</v>
      </c>
      <c r="J73" t="s">
        <v>27</v>
      </c>
    </row>
    <row r="74" spans="1:10" x14ac:dyDescent="0.3">
      <c r="A74" t="s">
        <v>242</v>
      </c>
      <c r="B74" t="s">
        <v>243</v>
      </c>
      <c r="C74" t="s">
        <v>244</v>
      </c>
      <c r="D74" t="s">
        <v>44</v>
      </c>
      <c r="E74" t="s">
        <v>86</v>
      </c>
      <c r="F74">
        <v>8</v>
      </c>
      <c r="G74">
        <v>678</v>
      </c>
      <c r="H74">
        <v>5424</v>
      </c>
      <c r="I74" t="s">
        <v>53</v>
      </c>
      <c r="J74" t="s">
        <v>27</v>
      </c>
    </row>
    <row r="75" spans="1:10" x14ac:dyDescent="0.3">
      <c r="A75" t="s">
        <v>245</v>
      </c>
      <c r="B75" t="s">
        <v>246</v>
      </c>
      <c r="C75" t="s">
        <v>247</v>
      </c>
      <c r="D75" t="s">
        <v>44</v>
      </c>
      <c r="E75" t="s">
        <v>14</v>
      </c>
      <c r="F75">
        <v>8</v>
      </c>
      <c r="G75">
        <v>183</v>
      </c>
      <c r="H75">
        <v>1464</v>
      </c>
      <c r="I75" t="s">
        <v>15</v>
      </c>
      <c r="J75" t="s">
        <v>16</v>
      </c>
    </row>
    <row r="76" spans="1:10" x14ac:dyDescent="0.3">
      <c r="A76" t="s">
        <v>248</v>
      </c>
      <c r="B76" t="s">
        <v>249</v>
      </c>
      <c r="C76" t="s">
        <v>250</v>
      </c>
      <c r="D76" t="s">
        <v>49</v>
      </c>
      <c r="E76" t="s">
        <v>26</v>
      </c>
      <c r="F76">
        <v>9</v>
      </c>
      <c r="G76">
        <v>433</v>
      </c>
      <c r="H76">
        <v>3897</v>
      </c>
      <c r="I76" t="s">
        <v>21</v>
      </c>
      <c r="J76" t="s">
        <v>40</v>
      </c>
    </row>
    <row r="77" spans="1:10" x14ac:dyDescent="0.3">
      <c r="A77" t="s">
        <v>251</v>
      </c>
      <c r="B77" t="s">
        <v>252</v>
      </c>
      <c r="C77" t="s">
        <v>253</v>
      </c>
      <c r="D77" t="s">
        <v>13</v>
      </c>
      <c r="E77" t="s">
        <v>14</v>
      </c>
      <c r="F77">
        <v>6</v>
      </c>
      <c r="G77">
        <v>1799</v>
      </c>
      <c r="H77">
        <v>10794</v>
      </c>
      <c r="I77" t="s">
        <v>67</v>
      </c>
      <c r="J77" t="s">
        <v>22</v>
      </c>
    </row>
    <row r="78" spans="1:10" x14ac:dyDescent="0.3">
      <c r="A78" t="s">
        <v>254</v>
      </c>
      <c r="B78" t="s">
        <v>255</v>
      </c>
      <c r="C78" t="s">
        <v>256</v>
      </c>
      <c r="D78" t="s">
        <v>20</v>
      </c>
      <c r="E78" t="s">
        <v>31</v>
      </c>
      <c r="F78">
        <v>6</v>
      </c>
      <c r="G78">
        <v>266</v>
      </c>
      <c r="H78">
        <v>1596</v>
      </c>
      <c r="I78" t="s">
        <v>67</v>
      </c>
      <c r="J78" t="s">
        <v>22</v>
      </c>
    </row>
    <row r="79" spans="1:10" x14ac:dyDescent="0.3">
      <c r="A79" t="s">
        <v>257</v>
      </c>
      <c r="B79" t="s">
        <v>249</v>
      </c>
      <c r="C79" t="s">
        <v>258</v>
      </c>
      <c r="D79" t="s">
        <v>13</v>
      </c>
      <c r="E79" t="s">
        <v>86</v>
      </c>
      <c r="F79">
        <v>6</v>
      </c>
      <c r="G79">
        <v>1703</v>
      </c>
      <c r="H79">
        <v>10218</v>
      </c>
      <c r="I79" t="s">
        <v>21</v>
      </c>
      <c r="J79" t="s">
        <v>22</v>
      </c>
    </row>
    <row r="80" spans="1:10" x14ac:dyDescent="0.3">
      <c r="A80" t="s">
        <v>259</v>
      </c>
      <c r="B80" t="s">
        <v>260</v>
      </c>
      <c r="C80" t="s">
        <v>261</v>
      </c>
      <c r="D80" t="s">
        <v>13</v>
      </c>
      <c r="E80" t="s">
        <v>86</v>
      </c>
      <c r="F80">
        <v>7</v>
      </c>
      <c r="G80">
        <v>511</v>
      </c>
      <c r="H80">
        <v>3577</v>
      </c>
      <c r="I80" t="s">
        <v>67</v>
      </c>
      <c r="J80" t="s">
        <v>40</v>
      </c>
    </row>
    <row r="81" spans="1:10" x14ac:dyDescent="0.3">
      <c r="A81" t="s">
        <v>262</v>
      </c>
      <c r="B81" t="s">
        <v>263</v>
      </c>
      <c r="C81" t="s">
        <v>264</v>
      </c>
      <c r="D81" t="s">
        <v>13</v>
      </c>
      <c r="E81" t="s">
        <v>86</v>
      </c>
      <c r="F81">
        <v>2</v>
      </c>
      <c r="G81">
        <v>382</v>
      </c>
      <c r="H81">
        <v>764</v>
      </c>
      <c r="I81" t="s">
        <v>15</v>
      </c>
      <c r="J81" t="s">
        <v>40</v>
      </c>
    </row>
    <row r="82" spans="1:10" x14ac:dyDescent="0.3">
      <c r="A82" t="s">
        <v>265</v>
      </c>
      <c r="B82" t="s">
        <v>266</v>
      </c>
      <c r="C82" t="s">
        <v>267</v>
      </c>
      <c r="D82" t="s">
        <v>49</v>
      </c>
      <c r="E82" t="s">
        <v>45</v>
      </c>
      <c r="F82">
        <v>1</v>
      </c>
      <c r="G82">
        <v>475</v>
      </c>
      <c r="H82">
        <v>475</v>
      </c>
      <c r="I82" t="s">
        <v>67</v>
      </c>
      <c r="J82" t="s">
        <v>40</v>
      </c>
    </row>
    <row r="83" spans="1:10" x14ac:dyDescent="0.3">
      <c r="A83" t="s">
        <v>268</v>
      </c>
      <c r="B83" t="s">
        <v>269</v>
      </c>
      <c r="C83" t="s">
        <v>270</v>
      </c>
      <c r="D83" t="s">
        <v>13</v>
      </c>
      <c r="E83" t="s">
        <v>60</v>
      </c>
      <c r="F83">
        <v>10</v>
      </c>
      <c r="G83">
        <v>1023</v>
      </c>
      <c r="H83">
        <v>10230</v>
      </c>
      <c r="I83" t="s">
        <v>67</v>
      </c>
      <c r="J83" t="s">
        <v>16</v>
      </c>
    </row>
    <row r="84" spans="1:10" x14ac:dyDescent="0.3">
      <c r="A84" t="s">
        <v>271</v>
      </c>
      <c r="B84" t="s">
        <v>272</v>
      </c>
      <c r="C84" t="s">
        <v>273</v>
      </c>
      <c r="D84" t="s">
        <v>49</v>
      </c>
      <c r="E84" t="s">
        <v>26</v>
      </c>
      <c r="F84">
        <v>1</v>
      </c>
      <c r="G84">
        <v>1993</v>
      </c>
      <c r="H84">
        <v>1993</v>
      </c>
      <c r="I84" t="s">
        <v>35</v>
      </c>
      <c r="J84" t="s">
        <v>22</v>
      </c>
    </row>
    <row r="85" spans="1:10" x14ac:dyDescent="0.3">
      <c r="A85" t="s">
        <v>274</v>
      </c>
      <c r="B85" t="s">
        <v>187</v>
      </c>
      <c r="C85" t="s">
        <v>275</v>
      </c>
      <c r="D85" t="s">
        <v>20</v>
      </c>
      <c r="E85" t="s">
        <v>60</v>
      </c>
      <c r="F85">
        <v>7</v>
      </c>
      <c r="G85">
        <v>407</v>
      </c>
      <c r="H85">
        <v>2849</v>
      </c>
      <c r="I85" t="s">
        <v>39</v>
      </c>
      <c r="J85" t="s">
        <v>27</v>
      </c>
    </row>
    <row r="86" spans="1:10" x14ac:dyDescent="0.3">
      <c r="A86" t="s">
        <v>276</v>
      </c>
      <c r="B86" t="s">
        <v>277</v>
      </c>
      <c r="C86" t="s">
        <v>278</v>
      </c>
      <c r="D86" t="s">
        <v>44</v>
      </c>
      <c r="E86" t="s">
        <v>31</v>
      </c>
      <c r="F86">
        <v>7</v>
      </c>
      <c r="G86">
        <v>257</v>
      </c>
      <c r="H86">
        <v>1799</v>
      </c>
      <c r="I86" t="s">
        <v>35</v>
      </c>
      <c r="J86" t="s">
        <v>27</v>
      </c>
    </row>
    <row r="87" spans="1:10" x14ac:dyDescent="0.3">
      <c r="A87" t="s">
        <v>279</v>
      </c>
      <c r="B87" t="s">
        <v>280</v>
      </c>
      <c r="C87" t="s">
        <v>281</v>
      </c>
      <c r="D87" t="s">
        <v>13</v>
      </c>
      <c r="E87" t="s">
        <v>86</v>
      </c>
      <c r="F87">
        <v>10</v>
      </c>
      <c r="G87">
        <v>286</v>
      </c>
      <c r="H87">
        <v>2860</v>
      </c>
      <c r="I87" t="s">
        <v>21</v>
      </c>
      <c r="J87" t="s">
        <v>27</v>
      </c>
    </row>
    <row r="88" spans="1:10" x14ac:dyDescent="0.3">
      <c r="A88" t="s">
        <v>282</v>
      </c>
      <c r="B88" t="s">
        <v>283</v>
      </c>
      <c r="C88" t="s">
        <v>284</v>
      </c>
      <c r="D88" t="s">
        <v>44</v>
      </c>
      <c r="E88" t="s">
        <v>26</v>
      </c>
      <c r="F88">
        <v>1</v>
      </c>
      <c r="G88">
        <v>1765</v>
      </c>
      <c r="H88">
        <v>1765</v>
      </c>
      <c r="I88" t="s">
        <v>39</v>
      </c>
      <c r="J88" t="s">
        <v>40</v>
      </c>
    </row>
    <row r="89" spans="1:10" x14ac:dyDescent="0.3">
      <c r="A89" t="s">
        <v>285</v>
      </c>
      <c r="B89" t="s">
        <v>286</v>
      </c>
      <c r="C89" t="s">
        <v>287</v>
      </c>
      <c r="D89" t="s">
        <v>44</v>
      </c>
      <c r="E89" t="s">
        <v>45</v>
      </c>
      <c r="F89">
        <v>6</v>
      </c>
      <c r="G89">
        <v>1964</v>
      </c>
      <c r="H89">
        <v>11784</v>
      </c>
      <c r="I89" t="s">
        <v>67</v>
      </c>
      <c r="J89" t="s">
        <v>27</v>
      </c>
    </row>
    <row r="90" spans="1:10" x14ac:dyDescent="0.3">
      <c r="A90" t="s">
        <v>288</v>
      </c>
      <c r="B90" t="s">
        <v>289</v>
      </c>
      <c r="C90" t="s">
        <v>290</v>
      </c>
      <c r="D90" t="s">
        <v>49</v>
      </c>
      <c r="E90" t="s">
        <v>86</v>
      </c>
      <c r="F90">
        <v>4</v>
      </c>
      <c r="G90">
        <v>1628</v>
      </c>
      <c r="H90">
        <v>6512</v>
      </c>
      <c r="I90" t="s">
        <v>35</v>
      </c>
      <c r="J90" t="s">
        <v>22</v>
      </c>
    </row>
    <row r="91" spans="1:10" x14ac:dyDescent="0.3">
      <c r="A91" t="s">
        <v>291</v>
      </c>
      <c r="B91" t="s">
        <v>33</v>
      </c>
      <c r="C91" t="s">
        <v>292</v>
      </c>
      <c r="D91" t="s">
        <v>49</v>
      </c>
      <c r="E91" t="s">
        <v>14</v>
      </c>
      <c r="F91">
        <v>5</v>
      </c>
      <c r="G91">
        <v>1526</v>
      </c>
      <c r="H91">
        <v>7630</v>
      </c>
      <c r="I91" t="s">
        <v>67</v>
      </c>
      <c r="J91" t="s">
        <v>16</v>
      </c>
    </row>
    <row r="92" spans="1:10" x14ac:dyDescent="0.3">
      <c r="A92" t="s">
        <v>293</v>
      </c>
      <c r="B92" t="s">
        <v>294</v>
      </c>
      <c r="C92" t="s">
        <v>295</v>
      </c>
      <c r="D92" t="s">
        <v>20</v>
      </c>
      <c r="E92" t="s">
        <v>60</v>
      </c>
      <c r="F92">
        <v>4</v>
      </c>
      <c r="G92">
        <v>1236</v>
      </c>
      <c r="H92">
        <v>4944</v>
      </c>
      <c r="I92" t="s">
        <v>21</v>
      </c>
      <c r="J92" t="s">
        <v>16</v>
      </c>
    </row>
    <row r="93" spans="1:10" x14ac:dyDescent="0.3">
      <c r="A93" t="s">
        <v>296</v>
      </c>
      <c r="B93" t="s">
        <v>297</v>
      </c>
      <c r="C93" t="s">
        <v>298</v>
      </c>
      <c r="D93" t="s">
        <v>49</v>
      </c>
      <c r="E93" t="s">
        <v>14</v>
      </c>
      <c r="F93">
        <v>7</v>
      </c>
      <c r="G93">
        <v>847</v>
      </c>
      <c r="H93">
        <v>5929</v>
      </c>
      <c r="I93" t="s">
        <v>53</v>
      </c>
      <c r="J93" t="s">
        <v>16</v>
      </c>
    </row>
    <row r="94" spans="1:10" x14ac:dyDescent="0.3">
      <c r="A94" t="s">
        <v>299</v>
      </c>
      <c r="B94" t="s">
        <v>277</v>
      </c>
      <c r="C94" t="s">
        <v>300</v>
      </c>
      <c r="D94" t="s">
        <v>44</v>
      </c>
      <c r="E94" t="s">
        <v>60</v>
      </c>
      <c r="F94">
        <v>1</v>
      </c>
      <c r="G94">
        <v>273</v>
      </c>
      <c r="H94">
        <v>273</v>
      </c>
      <c r="I94" t="s">
        <v>35</v>
      </c>
      <c r="J94" t="s">
        <v>16</v>
      </c>
    </row>
    <row r="95" spans="1:10" x14ac:dyDescent="0.3">
      <c r="A95" t="s">
        <v>301</v>
      </c>
      <c r="B95" t="s">
        <v>302</v>
      </c>
      <c r="C95" t="s">
        <v>303</v>
      </c>
      <c r="D95" t="s">
        <v>20</v>
      </c>
      <c r="E95" t="s">
        <v>26</v>
      </c>
      <c r="F95">
        <v>3</v>
      </c>
      <c r="G95">
        <v>1037</v>
      </c>
      <c r="H95">
        <v>3111</v>
      </c>
      <c r="I95" t="s">
        <v>21</v>
      </c>
      <c r="J95" t="s">
        <v>22</v>
      </c>
    </row>
    <row r="96" spans="1:10" x14ac:dyDescent="0.3">
      <c r="A96" t="s">
        <v>304</v>
      </c>
      <c r="B96" t="s">
        <v>305</v>
      </c>
      <c r="C96" t="s">
        <v>306</v>
      </c>
      <c r="D96" t="s">
        <v>20</v>
      </c>
      <c r="E96" t="s">
        <v>31</v>
      </c>
      <c r="F96">
        <v>8</v>
      </c>
      <c r="G96">
        <v>1202</v>
      </c>
      <c r="H96">
        <v>9616</v>
      </c>
      <c r="I96" t="s">
        <v>67</v>
      </c>
      <c r="J96" t="s">
        <v>16</v>
      </c>
    </row>
    <row r="97" spans="1:10" x14ac:dyDescent="0.3">
      <c r="A97" t="s">
        <v>307</v>
      </c>
      <c r="B97" t="s">
        <v>308</v>
      </c>
      <c r="C97" t="s">
        <v>309</v>
      </c>
      <c r="D97" t="s">
        <v>44</v>
      </c>
      <c r="E97" t="s">
        <v>60</v>
      </c>
      <c r="F97">
        <v>8</v>
      </c>
      <c r="G97">
        <v>1361</v>
      </c>
      <c r="H97">
        <v>10888</v>
      </c>
      <c r="I97" t="s">
        <v>53</v>
      </c>
      <c r="J97" t="s">
        <v>16</v>
      </c>
    </row>
    <row r="98" spans="1:10" x14ac:dyDescent="0.3">
      <c r="A98" t="s">
        <v>310</v>
      </c>
      <c r="B98" t="s">
        <v>311</v>
      </c>
      <c r="C98" t="s">
        <v>312</v>
      </c>
      <c r="D98" t="s">
        <v>44</v>
      </c>
      <c r="E98" t="s">
        <v>26</v>
      </c>
      <c r="F98">
        <v>7</v>
      </c>
      <c r="G98">
        <v>251</v>
      </c>
      <c r="H98">
        <v>1757</v>
      </c>
      <c r="I98" t="s">
        <v>15</v>
      </c>
      <c r="J98" t="s">
        <v>40</v>
      </c>
    </row>
    <row r="99" spans="1:10" x14ac:dyDescent="0.3">
      <c r="A99" t="s">
        <v>313</v>
      </c>
      <c r="B99" t="s">
        <v>314</v>
      </c>
      <c r="C99" t="s">
        <v>315</v>
      </c>
      <c r="D99" t="s">
        <v>49</v>
      </c>
      <c r="E99" t="s">
        <v>86</v>
      </c>
      <c r="F99">
        <v>1</v>
      </c>
      <c r="G99">
        <v>1131</v>
      </c>
      <c r="H99">
        <v>1131</v>
      </c>
      <c r="I99" t="s">
        <v>15</v>
      </c>
      <c r="J99" t="s">
        <v>40</v>
      </c>
    </row>
    <row r="100" spans="1:10" x14ac:dyDescent="0.3">
      <c r="A100" t="s">
        <v>316</v>
      </c>
      <c r="B100" t="s">
        <v>317</v>
      </c>
      <c r="C100" t="s">
        <v>318</v>
      </c>
      <c r="D100" t="s">
        <v>49</v>
      </c>
      <c r="E100" t="s">
        <v>14</v>
      </c>
      <c r="F100">
        <v>6</v>
      </c>
      <c r="G100">
        <v>776</v>
      </c>
      <c r="H100">
        <v>4656</v>
      </c>
      <c r="I100" t="s">
        <v>53</v>
      </c>
      <c r="J100" t="s">
        <v>16</v>
      </c>
    </row>
    <row r="101" spans="1:10" x14ac:dyDescent="0.3">
      <c r="A101" t="s">
        <v>319</v>
      </c>
      <c r="B101" t="s">
        <v>320</v>
      </c>
      <c r="C101" t="s">
        <v>321</v>
      </c>
      <c r="D101" t="s">
        <v>13</v>
      </c>
      <c r="E101" t="s">
        <v>14</v>
      </c>
      <c r="F101">
        <v>2</v>
      </c>
      <c r="G101">
        <v>681</v>
      </c>
      <c r="H101">
        <v>1362</v>
      </c>
      <c r="I101" t="s">
        <v>67</v>
      </c>
      <c r="J101" t="s">
        <v>16</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CA248-D59D-45C6-901C-9C29586DE0EF}">
  <dimension ref="A1:M101"/>
  <sheetViews>
    <sheetView tabSelected="1" workbookViewId="0">
      <selection activeCell="L13" sqref="L13"/>
    </sheetView>
  </sheetViews>
  <sheetFormatPr defaultRowHeight="14.4" x14ac:dyDescent="0.3"/>
  <cols>
    <col min="1" max="1" width="13" bestFit="1" customWidth="1"/>
    <col min="2" max="2" width="15.109375" bestFit="1" customWidth="1"/>
    <col min="3" max="3" width="20.5546875" bestFit="1" customWidth="1"/>
    <col min="4" max="4" width="11.21875" bestFit="1" customWidth="1"/>
    <col min="5" max="5" width="12.109375" bestFit="1" customWidth="1"/>
    <col min="6" max="6" width="12.77734375" bestFit="1" customWidth="1"/>
    <col min="7" max="7" width="14.109375" bestFit="1" customWidth="1"/>
    <col min="8" max="8" width="12.77734375" bestFit="1" customWidth="1"/>
    <col min="9" max="9" width="15.44140625" bestFit="1" customWidth="1"/>
    <col min="10" max="10" width="20.88671875" bestFit="1" customWidth="1"/>
    <col min="12" max="12" width="25.77734375" bestFit="1" customWidth="1"/>
  </cols>
  <sheetData>
    <row r="1" spans="1:13" x14ac:dyDescent="0.3">
      <c r="A1" s="1" t="s">
        <v>0</v>
      </c>
      <c r="B1" s="1" t="s">
        <v>1</v>
      </c>
      <c r="C1" s="1" t="s">
        <v>2</v>
      </c>
      <c r="D1" s="1" t="s">
        <v>3</v>
      </c>
      <c r="E1" s="1" t="s">
        <v>4</v>
      </c>
      <c r="F1" s="1" t="s">
        <v>5</v>
      </c>
      <c r="G1" s="1" t="s">
        <v>6</v>
      </c>
      <c r="H1" s="1" t="s">
        <v>7</v>
      </c>
      <c r="I1" s="1" t="s">
        <v>8</v>
      </c>
      <c r="J1" s="1" t="s">
        <v>9</v>
      </c>
      <c r="L1" t="s">
        <v>362</v>
      </c>
      <c r="M1" s="5">
        <f>VLOOKUP(A13,A:H,8)</f>
        <v>3390</v>
      </c>
    </row>
    <row r="2" spans="1:13" x14ac:dyDescent="0.3">
      <c r="A2" t="s">
        <v>10</v>
      </c>
      <c r="B2" t="s">
        <v>11</v>
      </c>
      <c r="C2" t="s">
        <v>12</v>
      </c>
      <c r="D2" t="s">
        <v>13</v>
      </c>
      <c r="E2" t="s">
        <v>14</v>
      </c>
      <c r="F2">
        <v>8</v>
      </c>
      <c r="G2">
        <v>960</v>
      </c>
      <c r="H2">
        <v>7680</v>
      </c>
      <c r="I2" t="s">
        <v>15</v>
      </c>
      <c r="J2" t="s">
        <v>16</v>
      </c>
      <c r="L2" t="s">
        <v>363</v>
      </c>
      <c r="M2" s="5" t="str">
        <f>VLOOKUP(A13,A:E,5)</f>
        <v>Laptop</v>
      </c>
    </row>
    <row r="3" spans="1:13" x14ac:dyDescent="0.3">
      <c r="A3" t="s">
        <v>17</v>
      </c>
      <c r="B3" t="s">
        <v>18</v>
      </c>
      <c r="C3" t="s">
        <v>19</v>
      </c>
      <c r="D3" t="s">
        <v>20</v>
      </c>
      <c r="E3" t="s">
        <v>14</v>
      </c>
      <c r="F3">
        <v>8</v>
      </c>
      <c r="G3">
        <v>897</v>
      </c>
      <c r="H3">
        <v>7176</v>
      </c>
      <c r="I3" t="s">
        <v>21</v>
      </c>
      <c r="J3" t="s">
        <v>22</v>
      </c>
    </row>
    <row r="4" spans="1:13" x14ac:dyDescent="0.3">
      <c r="A4" t="s">
        <v>23</v>
      </c>
      <c r="B4" t="s">
        <v>24</v>
      </c>
      <c r="C4" t="s">
        <v>25</v>
      </c>
      <c r="D4" t="s">
        <v>13</v>
      </c>
      <c r="E4" t="s">
        <v>26</v>
      </c>
      <c r="F4">
        <v>6</v>
      </c>
      <c r="G4">
        <v>959</v>
      </c>
      <c r="H4">
        <v>5754</v>
      </c>
      <c r="I4" t="s">
        <v>21</v>
      </c>
      <c r="J4" t="s">
        <v>27</v>
      </c>
    </row>
    <row r="5" spans="1:13" x14ac:dyDescent="0.3">
      <c r="A5" t="s">
        <v>28</v>
      </c>
      <c r="B5" t="s">
        <v>29</v>
      </c>
      <c r="C5" t="s">
        <v>30</v>
      </c>
      <c r="D5" t="s">
        <v>13</v>
      </c>
      <c r="E5" t="s">
        <v>31</v>
      </c>
      <c r="F5">
        <v>10</v>
      </c>
      <c r="G5">
        <v>1065</v>
      </c>
      <c r="H5">
        <v>10650</v>
      </c>
      <c r="I5" t="s">
        <v>21</v>
      </c>
      <c r="J5" t="s">
        <v>27</v>
      </c>
    </row>
    <row r="6" spans="1:13" x14ac:dyDescent="0.3">
      <c r="A6" t="s">
        <v>32</v>
      </c>
      <c r="B6" t="s">
        <v>33</v>
      </c>
      <c r="C6" t="s">
        <v>34</v>
      </c>
      <c r="D6" t="s">
        <v>20</v>
      </c>
      <c r="E6" t="s">
        <v>31</v>
      </c>
      <c r="F6">
        <v>4</v>
      </c>
      <c r="G6">
        <v>978</v>
      </c>
      <c r="H6">
        <v>3912</v>
      </c>
      <c r="I6" t="s">
        <v>35</v>
      </c>
      <c r="J6" t="s">
        <v>16</v>
      </c>
    </row>
    <row r="7" spans="1:13" x14ac:dyDescent="0.3">
      <c r="A7" t="s">
        <v>36</v>
      </c>
      <c r="B7" t="s">
        <v>37</v>
      </c>
      <c r="C7" t="s">
        <v>38</v>
      </c>
      <c r="D7" t="s">
        <v>20</v>
      </c>
      <c r="E7" t="s">
        <v>14</v>
      </c>
      <c r="F7">
        <v>7</v>
      </c>
      <c r="G7">
        <v>785</v>
      </c>
      <c r="H7">
        <v>5495</v>
      </c>
      <c r="I7" t="s">
        <v>39</v>
      </c>
      <c r="J7" t="s">
        <v>40</v>
      </c>
    </row>
    <row r="8" spans="1:13" x14ac:dyDescent="0.3">
      <c r="A8" t="s">
        <v>41</v>
      </c>
      <c r="B8" t="s">
        <v>42</v>
      </c>
      <c r="C8" t="s">
        <v>43</v>
      </c>
      <c r="D8" t="s">
        <v>44</v>
      </c>
      <c r="E8" t="s">
        <v>45</v>
      </c>
      <c r="F8">
        <v>4</v>
      </c>
      <c r="G8">
        <v>474</v>
      </c>
      <c r="H8">
        <v>1896</v>
      </c>
      <c r="I8" t="s">
        <v>15</v>
      </c>
      <c r="J8" t="s">
        <v>16</v>
      </c>
    </row>
    <row r="9" spans="1:13" x14ac:dyDescent="0.3">
      <c r="A9" t="s">
        <v>46</v>
      </c>
      <c r="B9" t="s">
        <v>47</v>
      </c>
      <c r="C9" t="s">
        <v>48</v>
      </c>
      <c r="D9" t="s">
        <v>49</v>
      </c>
      <c r="E9" t="s">
        <v>14</v>
      </c>
      <c r="F9">
        <v>4</v>
      </c>
      <c r="G9">
        <v>1934</v>
      </c>
      <c r="H9">
        <v>7736</v>
      </c>
      <c r="I9" t="s">
        <v>15</v>
      </c>
      <c r="J9" t="s">
        <v>40</v>
      </c>
    </row>
    <row r="10" spans="1:13" x14ac:dyDescent="0.3">
      <c r="A10" t="s">
        <v>50</v>
      </c>
      <c r="B10" t="s">
        <v>51</v>
      </c>
      <c r="C10" t="s">
        <v>52</v>
      </c>
      <c r="D10" t="s">
        <v>49</v>
      </c>
      <c r="E10" t="s">
        <v>31</v>
      </c>
      <c r="F10">
        <v>2</v>
      </c>
      <c r="G10">
        <v>599</v>
      </c>
      <c r="H10">
        <v>1198</v>
      </c>
      <c r="I10" t="s">
        <v>53</v>
      </c>
      <c r="J10" t="s">
        <v>27</v>
      </c>
    </row>
    <row r="11" spans="1:13" x14ac:dyDescent="0.3">
      <c r="A11" t="s">
        <v>54</v>
      </c>
      <c r="B11" t="s">
        <v>55</v>
      </c>
      <c r="C11" t="s">
        <v>56</v>
      </c>
      <c r="D11" t="s">
        <v>20</v>
      </c>
      <c r="E11" t="s">
        <v>31</v>
      </c>
      <c r="F11">
        <v>6</v>
      </c>
      <c r="G11">
        <v>1476</v>
      </c>
      <c r="H11">
        <v>8856</v>
      </c>
      <c r="I11" t="s">
        <v>15</v>
      </c>
      <c r="J11" t="s">
        <v>40</v>
      </c>
    </row>
    <row r="12" spans="1:13" x14ac:dyDescent="0.3">
      <c r="A12" t="s">
        <v>57</v>
      </c>
      <c r="B12" t="s">
        <v>58</v>
      </c>
      <c r="C12" t="s">
        <v>59</v>
      </c>
      <c r="D12" t="s">
        <v>49</v>
      </c>
      <c r="E12" t="s">
        <v>60</v>
      </c>
      <c r="F12">
        <v>5</v>
      </c>
      <c r="G12">
        <v>1331</v>
      </c>
      <c r="H12">
        <v>6655</v>
      </c>
      <c r="I12" t="s">
        <v>35</v>
      </c>
      <c r="J12" t="s">
        <v>27</v>
      </c>
    </row>
    <row r="13" spans="1:13" x14ac:dyDescent="0.3">
      <c r="A13" t="s">
        <v>61</v>
      </c>
      <c r="B13" t="s">
        <v>62</v>
      </c>
      <c r="C13" t="s">
        <v>63</v>
      </c>
      <c r="D13" t="s">
        <v>13</v>
      </c>
      <c r="E13" t="s">
        <v>14</v>
      </c>
      <c r="F13">
        <v>5</v>
      </c>
      <c r="G13">
        <v>678</v>
      </c>
      <c r="H13">
        <v>3390</v>
      </c>
      <c r="I13" t="s">
        <v>35</v>
      </c>
      <c r="J13" t="s">
        <v>27</v>
      </c>
    </row>
    <row r="14" spans="1:13" x14ac:dyDescent="0.3">
      <c r="A14" t="s">
        <v>64</v>
      </c>
      <c r="B14" t="s">
        <v>65</v>
      </c>
      <c r="C14" t="s">
        <v>66</v>
      </c>
      <c r="D14" t="s">
        <v>13</v>
      </c>
      <c r="E14" t="s">
        <v>60</v>
      </c>
      <c r="F14">
        <v>4</v>
      </c>
      <c r="G14">
        <v>1808</v>
      </c>
      <c r="H14">
        <v>7232</v>
      </c>
      <c r="I14" t="s">
        <v>67</v>
      </c>
      <c r="J14" t="s">
        <v>22</v>
      </c>
    </row>
    <row r="15" spans="1:13" x14ac:dyDescent="0.3">
      <c r="A15" t="s">
        <v>68</v>
      </c>
      <c r="B15" t="s">
        <v>69</v>
      </c>
      <c r="C15" t="s">
        <v>70</v>
      </c>
      <c r="D15" t="s">
        <v>13</v>
      </c>
      <c r="E15" t="s">
        <v>45</v>
      </c>
      <c r="F15">
        <v>1</v>
      </c>
      <c r="G15">
        <v>1141</v>
      </c>
      <c r="H15">
        <v>1141</v>
      </c>
      <c r="I15" t="s">
        <v>67</v>
      </c>
      <c r="J15" t="s">
        <v>27</v>
      </c>
    </row>
    <row r="16" spans="1:13" x14ac:dyDescent="0.3">
      <c r="A16" t="s">
        <v>71</v>
      </c>
      <c r="B16" t="s">
        <v>72</v>
      </c>
      <c r="C16" t="s">
        <v>73</v>
      </c>
      <c r="D16" t="s">
        <v>20</v>
      </c>
      <c r="E16" t="s">
        <v>31</v>
      </c>
      <c r="F16">
        <v>6</v>
      </c>
      <c r="G16">
        <v>1433</v>
      </c>
      <c r="H16">
        <v>8598</v>
      </c>
      <c r="I16" t="s">
        <v>15</v>
      </c>
      <c r="J16" t="s">
        <v>27</v>
      </c>
    </row>
    <row r="17" spans="1:10" x14ac:dyDescent="0.3">
      <c r="A17" t="s">
        <v>74</v>
      </c>
      <c r="B17" t="s">
        <v>75</v>
      </c>
      <c r="C17" t="s">
        <v>76</v>
      </c>
      <c r="D17" t="s">
        <v>20</v>
      </c>
      <c r="E17" t="s">
        <v>14</v>
      </c>
      <c r="F17">
        <v>1</v>
      </c>
      <c r="G17">
        <v>1766</v>
      </c>
      <c r="H17">
        <v>1766</v>
      </c>
      <c r="I17" t="s">
        <v>39</v>
      </c>
      <c r="J17" t="s">
        <v>22</v>
      </c>
    </row>
    <row r="18" spans="1:10" x14ac:dyDescent="0.3">
      <c r="A18" t="s">
        <v>77</v>
      </c>
      <c r="B18" t="s">
        <v>78</v>
      </c>
      <c r="C18" t="s">
        <v>79</v>
      </c>
      <c r="D18" t="s">
        <v>13</v>
      </c>
      <c r="E18" t="s">
        <v>14</v>
      </c>
      <c r="F18">
        <v>10</v>
      </c>
      <c r="G18">
        <v>1878</v>
      </c>
      <c r="H18">
        <v>18780</v>
      </c>
      <c r="I18" t="s">
        <v>21</v>
      </c>
      <c r="J18" t="s">
        <v>22</v>
      </c>
    </row>
    <row r="19" spans="1:10" x14ac:dyDescent="0.3">
      <c r="A19" t="s">
        <v>80</v>
      </c>
      <c r="B19" t="s">
        <v>81</v>
      </c>
      <c r="C19" t="s">
        <v>82</v>
      </c>
      <c r="D19" t="s">
        <v>49</v>
      </c>
      <c r="E19" t="s">
        <v>14</v>
      </c>
      <c r="F19">
        <v>9</v>
      </c>
      <c r="G19">
        <v>1103</v>
      </c>
      <c r="H19">
        <v>9927</v>
      </c>
      <c r="I19" t="s">
        <v>53</v>
      </c>
      <c r="J19" t="s">
        <v>40</v>
      </c>
    </row>
    <row r="20" spans="1:10" x14ac:dyDescent="0.3">
      <c r="A20" t="s">
        <v>83</v>
      </c>
      <c r="B20" t="s">
        <v>84</v>
      </c>
      <c r="C20" t="s">
        <v>85</v>
      </c>
      <c r="D20" t="s">
        <v>20</v>
      </c>
      <c r="E20" t="s">
        <v>86</v>
      </c>
      <c r="F20">
        <v>9</v>
      </c>
      <c r="G20">
        <v>921</v>
      </c>
      <c r="H20">
        <v>8289</v>
      </c>
      <c r="I20" t="s">
        <v>53</v>
      </c>
      <c r="J20" t="s">
        <v>40</v>
      </c>
    </row>
    <row r="21" spans="1:10" x14ac:dyDescent="0.3">
      <c r="A21" t="s">
        <v>87</v>
      </c>
      <c r="B21" t="s">
        <v>88</v>
      </c>
      <c r="C21" t="s">
        <v>89</v>
      </c>
      <c r="D21" t="s">
        <v>49</v>
      </c>
      <c r="E21" t="s">
        <v>26</v>
      </c>
      <c r="F21">
        <v>3</v>
      </c>
      <c r="G21">
        <v>1080</v>
      </c>
      <c r="H21">
        <v>3240</v>
      </c>
      <c r="I21" t="s">
        <v>35</v>
      </c>
      <c r="J21" t="s">
        <v>40</v>
      </c>
    </row>
    <row r="22" spans="1:10" x14ac:dyDescent="0.3">
      <c r="A22" t="s">
        <v>90</v>
      </c>
      <c r="B22" t="s">
        <v>91</v>
      </c>
      <c r="C22" t="s">
        <v>92</v>
      </c>
      <c r="D22" t="s">
        <v>20</v>
      </c>
      <c r="E22" t="s">
        <v>31</v>
      </c>
      <c r="F22">
        <v>6</v>
      </c>
      <c r="G22">
        <v>1764</v>
      </c>
      <c r="H22">
        <v>10584</v>
      </c>
      <c r="I22" t="s">
        <v>35</v>
      </c>
      <c r="J22" t="s">
        <v>40</v>
      </c>
    </row>
    <row r="23" spans="1:10" x14ac:dyDescent="0.3">
      <c r="A23" t="s">
        <v>93</v>
      </c>
      <c r="B23" t="s">
        <v>65</v>
      </c>
      <c r="C23" t="s">
        <v>94</v>
      </c>
      <c r="D23" t="s">
        <v>44</v>
      </c>
      <c r="E23" t="s">
        <v>14</v>
      </c>
      <c r="F23">
        <v>10</v>
      </c>
      <c r="G23">
        <v>865</v>
      </c>
      <c r="H23">
        <v>8650</v>
      </c>
      <c r="I23" t="s">
        <v>67</v>
      </c>
      <c r="J23" t="s">
        <v>16</v>
      </c>
    </row>
    <row r="24" spans="1:10" x14ac:dyDescent="0.3">
      <c r="A24" t="s">
        <v>95</v>
      </c>
      <c r="B24" t="s">
        <v>96</v>
      </c>
      <c r="C24" t="s">
        <v>97</v>
      </c>
      <c r="D24" t="s">
        <v>49</v>
      </c>
      <c r="E24" t="s">
        <v>60</v>
      </c>
      <c r="F24">
        <v>5</v>
      </c>
      <c r="G24">
        <v>1177</v>
      </c>
      <c r="H24">
        <v>5885</v>
      </c>
      <c r="I24" t="s">
        <v>15</v>
      </c>
      <c r="J24" t="s">
        <v>40</v>
      </c>
    </row>
    <row r="25" spans="1:10" x14ac:dyDescent="0.3">
      <c r="A25" t="s">
        <v>98</v>
      </c>
      <c r="B25" t="s">
        <v>99</v>
      </c>
      <c r="C25" t="s">
        <v>100</v>
      </c>
      <c r="D25" t="s">
        <v>44</v>
      </c>
      <c r="E25" t="s">
        <v>31</v>
      </c>
      <c r="F25">
        <v>7</v>
      </c>
      <c r="G25">
        <v>888</v>
      </c>
      <c r="H25">
        <v>6216</v>
      </c>
      <c r="I25" t="s">
        <v>67</v>
      </c>
      <c r="J25" t="s">
        <v>16</v>
      </c>
    </row>
    <row r="26" spans="1:10" x14ac:dyDescent="0.3">
      <c r="A26" t="s">
        <v>101</v>
      </c>
      <c r="B26" t="s">
        <v>102</v>
      </c>
      <c r="C26" t="s">
        <v>103</v>
      </c>
      <c r="D26" t="s">
        <v>20</v>
      </c>
      <c r="E26" t="s">
        <v>14</v>
      </c>
      <c r="F26">
        <v>1</v>
      </c>
      <c r="G26">
        <v>1875</v>
      </c>
      <c r="H26">
        <v>1875</v>
      </c>
      <c r="I26" t="s">
        <v>39</v>
      </c>
      <c r="J26" t="s">
        <v>22</v>
      </c>
    </row>
    <row r="27" spans="1:10" x14ac:dyDescent="0.3">
      <c r="A27" t="s">
        <v>104</v>
      </c>
      <c r="B27" t="s">
        <v>105</v>
      </c>
      <c r="C27" t="s">
        <v>106</v>
      </c>
      <c r="D27" t="s">
        <v>49</v>
      </c>
      <c r="E27" t="s">
        <v>31</v>
      </c>
      <c r="F27">
        <v>2</v>
      </c>
      <c r="G27">
        <v>1778</v>
      </c>
      <c r="H27">
        <v>3556</v>
      </c>
      <c r="I27" t="s">
        <v>39</v>
      </c>
      <c r="J27" t="s">
        <v>22</v>
      </c>
    </row>
    <row r="28" spans="1:10" x14ac:dyDescent="0.3">
      <c r="A28" t="s">
        <v>107</v>
      </c>
      <c r="B28" t="s">
        <v>108</v>
      </c>
      <c r="C28" t="s">
        <v>109</v>
      </c>
      <c r="D28" t="s">
        <v>13</v>
      </c>
      <c r="E28" t="s">
        <v>14</v>
      </c>
      <c r="F28">
        <v>7</v>
      </c>
      <c r="G28">
        <v>291</v>
      </c>
      <c r="H28">
        <v>2037</v>
      </c>
      <c r="I28" t="s">
        <v>15</v>
      </c>
      <c r="J28" t="s">
        <v>40</v>
      </c>
    </row>
    <row r="29" spans="1:10" x14ac:dyDescent="0.3">
      <c r="A29" t="s">
        <v>110</v>
      </c>
      <c r="B29" t="s">
        <v>111</v>
      </c>
      <c r="C29" t="s">
        <v>112</v>
      </c>
      <c r="D29" t="s">
        <v>13</v>
      </c>
      <c r="E29" t="s">
        <v>31</v>
      </c>
      <c r="F29">
        <v>10</v>
      </c>
      <c r="G29">
        <v>1960</v>
      </c>
      <c r="H29">
        <v>19600</v>
      </c>
      <c r="I29" t="s">
        <v>53</v>
      </c>
      <c r="J29" t="s">
        <v>22</v>
      </c>
    </row>
    <row r="30" spans="1:10" x14ac:dyDescent="0.3">
      <c r="A30" t="s">
        <v>113</v>
      </c>
      <c r="B30" t="s">
        <v>114</v>
      </c>
      <c r="C30" t="s">
        <v>115</v>
      </c>
      <c r="D30" t="s">
        <v>20</v>
      </c>
      <c r="E30" t="s">
        <v>26</v>
      </c>
      <c r="F30">
        <v>3</v>
      </c>
      <c r="G30">
        <v>798</v>
      </c>
      <c r="H30">
        <v>2394</v>
      </c>
      <c r="I30" t="s">
        <v>15</v>
      </c>
      <c r="J30" t="s">
        <v>16</v>
      </c>
    </row>
    <row r="31" spans="1:10" x14ac:dyDescent="0.3">
      <c r="A31" t="s">
        <v>116</v>
      </c>
      <c r="B31" t="s">
        <v>117</v>
      </c>
      <c r="C31" t="s">
        <v>118</v>
      </c>
      <c r="D31" t="s">
        <v>20</v>
      </c>
      <c r="E31" t="s">
        <v>26</v>
      </c>
      <c r="F31">
        <v>3</v>
      </c>
      <c r="G31">
        <v>1945</v>
      </c>
      <c r="H31">
        <v>5835</v>
      </c>
      <c r="I31" t="s">
        <v>21</v>
      </c>
      <c r="J31" t="s">
        <v>16</v>
      </c>
    </row>
    <row r="32" spans="1:10" x14ac:dyDescent="0.3">
      <c r="A32" t="s">
        <v>119</v>
      </c>
      <c r="B32" t="s">
        <v>120</v>
      </c>
      <c r="C32" t="s">
        <v>121</v>
      </c>
      <c r="D32" t="s">
        <v>44</v>
      </c>
      <c r="E32" t="s">
        <v>26</v>
      </c>
      <c r="F32">
        <v>2</v>
      </c>
      <c r="G32">
        <v>1190</v>
      </c>
      <c r="H32">
        <v>2380</v>
      </c>
      <c r="I32" t="s">
        <v>35</v>
      </c>
      <c r="J32" t="s">
        <v>16</v>
      </c>
    </row>
    <row r="33" spans="1:10" x14ac:dyDescent="0.3">
      <c r="A33" t="s">
        <v>122</v>
      </c>
      <c r="B33" t="s">
        <v>123</v>
      </c>
      <c r="C33" t="s">
        <v>124</v>
      </c>
      <c r="D33" t="s">
        <v>13</v>
      </c>
      <c r="E33" t="s">
        <v>26</v>
      </c>
      <c r="F33">
        <v>3</v>
      </c>
      <c r="G33">
        <v>1481</v>
      </c>
      <c r="H33">
        <v>4443</v>
      </c>
      <c r="I33" t="s">
        <v>39</v>
      </c>
      <c r="J33" t="s">
        <v>22</v>
      </c>
    </row>
    <row r="34" spans="1:10" x14ac:dyDescent="0.3">
      <c r="A34" t="s">
        <v>125</v>
      </c>
      <c r="B34" t="s">
        <v>126</v>
      </c>
      <c r="C34" t="s">
        <v>127</v>
      </c>
      <c r="D34" t="s">
        <v>13</v>
      </c>
      <c r="E34" t="s">
        <v>60</v>
      </c>
      <c r="F34">
        <v>10</v>
      </c>
      <c r="G34">
        <v>1840</v>
      </c>
      <c r="H34">
        <v>18400</v>
      </c>
      <c r="I34" t="s">
        <v>39</v>
      </c>
      <c r="J34" t="s">
        <v>16</v>
      </c>
    </row>
    <row r="35" spans="1:10" x14ac:dyDescent="0.3">
      <c r="A35" t="s">
        <v>128</v>
      </c>
      <c r="B35" t="s">
        <v>129</v>
      </c>
      <c r="C35" t="s">
        <v>130</v>
      </c>
      <c r="D35" t="s">
        <v>49</v>
      </c>
      <c r="E35" t="s">
        <v>86</v>
      </c>
      <c r="F35">
        <v>4</v>
      </c>
      <c r="G35">
        <v>285</v>
      </c>
      <c r="H35">
        <v>1140</v>
      </c>
      <c r="I35" t="s">
        <v>21</v>
      </c>
      <c r="J35" t="s">
        <v>22</v>
      </c>
    </row>
    <row r="36" spans="1:10" x14ac:dyDescent="0.3">
      <c r="A36" t="s">
        <v>131</v>
      </c>
      <c r="B36" t="s">
        <v>132</v>
      </c>
      <c r="C36" t="s">
        <v>133</v>
      </c>
      <c r="D36" t="s">
        <v>49</v>
      </c>
      <c r="E36" t="s">
        <v>31</v>
      </c>
      <c r="F36">
        <v>7</v>
      </c>
      <c r="G36">
        <v>424</v>
      </c>
      <c r="H36">
        <v>2968</v>
      </c>
      <c r="I36" t="s">
        <v>39</v>
      </c>
      <c r="J36" t="s">
        <v>40</v>
      </c>
    </row>
    <row r="37" spans="1:10" x14ac:dyDescent="0.3">
      <c r="A37" t="s">
        <v>134</v>
      </c>
      <c r="B37" t="s">
        <v>135</v>
      </c>
      <c r="C37" t="s">
        <v>136</v>
      </c>
      <c r="D37" t="s">
        <v>13</v>
      </c>
      <c r="E37" t="s">
        <v>86</v>
      </c>
      <c r="F37">
        <v>2</v>
      </c>
      <c r="G37">
        <v>1531</v>
      </c>
      <c r="H37">
        <v>3062</v>
      </c>
      <c r="I37" t="s">
        <v>53</v>
      </c>
      <c r="J37" t="s">
        <v>27</v>
      </c>
    </row>
    <row r="38" spans="1:10" x14ac:dyDescent="0.3">
      <c r="A38" t="s">
        <v>137</v>
      </c>
      <c r="B38" t="s">
        <v>138</v>
      </c>
      <c r="C38" t="s">
        <v>139</v>
      </c>
      <c r="D38" t="s">
        <v>13</v>
      </c>
      <c r="E38" t="s">
        <v>45</v>
      </c>
      <c r="F38">
        <v>9</v>
      </c>
      <c r="G38">
        <v>256</v>
      </c>
      <c r="H38">
        <v>2304</v>
      </c>
      <c r="I38" t="s">
        <v>15</v>
      </c>
      <c r="J38" t="s">
        <v>40</v>
      </c>
    </row>
    <row r="39" spans="1:10" x14ac:dyDescent="0.3">
      <c r="A39" t="s">
        <v>140</v>
      </c>
      <c r="B39" t="s">
        <v>141</v>
      </c>
      <c r="C39" t="s">
        <v>142</v>
      </c>
      <c r="D39" t="s">
        <v>13</v>
      </c>
      <c r="E39" t="s">
        <v>45</v>
      </c>
      <c r="F39">
        <v>10</v>
      </c>
      <c r="G39">
        <v>212</v>
      </c>
      <c r="H39">
        <v>2120</v>
      </c>
      <c r="I39" t="s">
        <v>39</v>
      </c>
      <c r="J39" t="s">
        <v>27</v>
      </c>
    </row>
    <row r="40" spans="1:10" x14ac:dyDescent="0.3">
      <c r="A40" t="s">
        <v>143</v>
      </c>
      <c r="B40" t="s">
        <v>144</v>
      </c>
      <c r="C40" t="s">
        <v>145</v>
      </c>
      <c r="D40" t="s">
        <v>13</v>
      </c>
      <c r="E40" t="s">
        <v>31</v>
      </c>
      <c r="F40">
        <v>6</v>
      </c>
      <c r="G40">
        <v>753</v>
      </c>
      <c r="H40">
        <v>4518</v>
      </c>
      <c r="I40" t="s">
        <v>67</v>
      </c>
      <c r="J40" t="s">
        <v>16</v>
      </c>
    </row>
    <row r="41" spans="1:10" x14ac:dyDescent="0.3">
      <c r="A41" t="s">
        <v>146</v>
      </c>
      <c r="B41" t="s">
        <v>147</v>
      </c>
      <c r="C41" t="s">
        <v>148</v>
      </c>
      <c r="D41" t="s">
        <v>20</v>
      </c>
      <c r="E41" t="s">
        <v>31</v>
      </c>
      <c r="F41">
        <v>4</v>
      </c>
      <c r="G41">
        <v>1443</v>
      </c>
      <c r="H41">
        <v>5772</v>
      </c>
      <c r="I41" t="s">
        <v>21</v>
      </c>
      <c r="J41" t="s">
        <v>16</v>
      </c>
    </row>
    <row r="42" spans="1:10" x14ac:dyDescent="0.3">
      <c r="A42" t="s">
        <v>149</v>
      </c>
      <c r="B42" t="s">
        <v>150</v>
      </c>
      <c r="C42" t="s">
        <v>151</v>
      </c>
      <c r="D42" t="s">
        <v>13</v>
      </c>
      <c r="E42" t="s">
        <v>31</v>
      </c>
      <c r="F42">
        <v>3</v>
      </c>
      <c r="G42">
        <v>1930</v>
      </c>
      <c r="H42">
        <v>5790</v>
      </c>
      <c r="I42" t="s">
        <v>39</v>
      </c>
      <c r="J42" t="s">
        <v>16</v>
      </c>
    </row>
    <row r="43" spans="1:10" x14ac:dyDescent="0.3">
      <c r="A43" t="s">
        <v>152</v>
      </c>
      <c r="B43" t="s">
        <v>120</v>
      </c>
      <c r="C43" t="s">
        <v>153</v>
      </c>
      <c r="D43" t="s">
        <v>49</v>
      </c>
      <c r="E43" t="s">
        <v>31</v>
      </c>
      <c r="F43">
        <v>9</v>
      </c>
      <c r="G43">
        <v>1394</v>
      </c>
      <c r="H43">
        <v>12546</v>
      </c>
      <c r="I43" t="s">
        <v>53</v>
      </c>
      <c r="J43" t="s">
        <v>22</v>
      </c>
    </row>
    <row r="44" spans="1:10" x14ac:dyDescent="0.3">
      <c r="A44" t="s">
        <v>154</v>
      </c>
      <c r="B44" t="s">
        <v>155</v>
      </c>
      <c r="C44" t="s">
        <v>156</v>
      </c>
      <c r="D44" t="s">
        <v>20</v>
      </c>
      <c r="E44" t="s">
        <v>31</v>
      </c>
      <c r="F44">
        <v>3</v>
      </c>
      <c r="G44">
        <v>529</v>
      </c>
      <c r="H44">
        <v>1587</v>
      </c>
      <c r="I44" t="s">
        <v>15</v>
      </c>
      <c r="J44" t="s">
        <v>27</v>
      </c>
    </row>
    <row r="45" spans="1:10" x14ac:dyDescent="0.3">
      <c r="A45" t="s">
        <v>157</v>
      </c>
      <c r="B45" t="s">
        <v>158</v>
      </c>
      <c r="C45" t="s">
        <v>159</v>
      </c>
      <c r="D45" t="s">
        <v>44</v>
      </c>
      <c r="E45" t="s">
        <v>26</v>
      </c>
      <c r="F45">
        <v>6</v>
      </c>
      <c r="G45">
        <v>1816</v>
      </c>
      <c r="H45">
        <v>10896</v>
      </c>
      <c r="I45" t="s">
        <v>15</v>
      </c>
      <c r="J45" t="s">
        <v>22</v>
      </c>
    </row>
    <row r="46" spans="1:10" x14ac:dyDescent="0.3">
      <c r="A46" t="s">
        <v>160</v>
      </c>
      <c r="B46" t="s">
        <v>161</v>
      </c>
      <c r="C46" t="s">
        <v>162</v>
      </c>
      <c r="D46" t="s">
        <v>20</v>
      </c>
      <c r="E46" t="s">
        <v>14</v>
      </c>
      <c r="F46">
        <v>5</v>
      </c>
      <c r="G46">
        <v>1252</v>
      </c>
      <c r="H46">
        <v>6260</v>
      </c>
      <c r="I46" t="s">
        <v>67</v>
      </c>
      <c r="J46" t="s">
        <v>16</v>
      </c>
    </row>
    <row r="47" spans="1:10" x14ac:dyDescent="0.3">
      <c r="A47" t="s">
        <v>163</v>
      </c>
      <c r="B47" t="s">
        <v>164</v>
      </c>
      <c r="C47" t="s">
        <v>165</v>
      </c>
      <c r="D47" t="s">
        <v>20</v>
      </c>
      <c r="E47" t="s">
        <v>86</v>
      </c>
      <c r="F47">
        <v>2</v>
      </c>
      <c r="G47">
        <v>1846</v>
      </c>
      <c r="H47">
        <v>3692</v>
      </c>
      <c r="I47" t="s">
        <v>35</v>
      </c>
      <c r="J47" t="s">
        <v>40</v>
      </c>
    </row>
    <row r="48" spans="1:10" x14ac:dyDescent="0.3">
      <c r="A48" t="s">
        <v>166</v>
      </c>
      <c r="B48" t="s">
        <v>167</v>
      </c>
      <c r="C48" t="s">
        <v>168</v>
      </c>
      <c r="D48" t="s">
        <v>49</v>
      </c>
      <c r="E48" t="s">
        <v>86</v>
      </c>
      <c r="F48">
        <v>1</v>
      </c>
      <c r="G48">
        <v>1316</v>
      </c>
      <c r="H48">
        <v>1316</v>
      </c>
      <c r="I48" t="s">
        <v>21</v>
      </c>
      <c r="J48" t="s">
        <v>16</v>
      </c>
    </row>
    <row r="49" spans="1:10" x14ac:dyDescent="0.3">
      <c r="A49" t="s">
        <v>169</v>
      </c>
      <c r="B49" t="s">
        <v>88</v>
      </c>
      <c r="C49" t="s">
        <v>170</v>
      </c>
      <c r="D49" t="s">
        <v>13</v>
      </c>
      <c r="E49" t="s">
        <v>31</v>
      </c>
      <c r="F49">
        <v>7</v>
      </c>
      <c r="G49">
        <v>1539</v>
      </c>
      <c r="H49">
        <v>10773</v>
      </c>
      <c r="I49" t="s">
        <v>15</v>
      </c>
      <c r="J49" t="s">
        <v>40</v>
      </c>
    </row>
    <row r="50" spans="1:10" x14ac:dyDescent="0.3">
      <c r="A50" t="s">
        <v>171</v>
      </c>
      <c r="B50" t="s">
        <v>172</v>
      </c>
      <c r="C50" t="s">
        <v>173</v>
      </c>
      <c r="D50" t="s">
        <v>44</v>
      </c>
      <c r="E50" t="s">
        <v>14</v>
      </c>
      <c r="F50">
        <v>1</v>
      </c>
      <c r="G50">
        <v>184</v>
      </c>
      <c r="H50">
        <v>184</v>
      </c>
      <c r="I50" t="s">
        <v>35</v>
      </c>
      <c r="J50" t="s">
        <v>16</v>
      </c>
    </row>
    <row r="51" spans="1:10" x14ac:dyDescent="0.3">
      <c r="A51" t="s">
        <v>174</v>
      </c>
      <c r="B51" t="s">
        <v>175</v>
      </c>
      <c r="C51" t="s">
        <v>176</v>
      </c>
      <c r="D51" t="s">
        <v>20</v>
      </c>
      <c r="E51" t="s">
        <v>45</v>
      </c>
      <c r="F51">
        <v>6</v>
      </c>
      <c r="G51">
        <v>1468</v>
      </c>
      <c r="H51">
        <v>8808</v>
      </c>
      <c r="I51" t="s">
        <v>35</v>
      </c>
      <c r="J51" t="s">
        <v>16</v>
      </c>
    </row>
    <row r="52" spans="1:10" x14ac:dyDescent="0.3">
      <c r="A52" t="s">
        <v>177</v>
      </c>
      <c r="B52" t="s">
        <v>178</v>
      </c>
      <c r="C52" t="s">
        <v>179</v>
      </c>
      <c r="D52" t="s">
        <v>13</v>
      </c>
      <c r="E52" t="s">
        <v>60</v>
      </c>
      <c r="F52">
        <v>6</v>
      </c>
      <c r="G52">
        <v>536</v>
      </c>
      <c r="H52">
        <v>3216</v>
      </c>
      <c r="I52" t="s">
        <v>39</v>
      </c>
      <c r="J52" t="s">
        <v>22</v>
      </c>
    </row>
    <row r="53" spans="1:10" x14ac:dyDescent="0.3">
      <c r="A53" t="s">
        <v>180</v>
      </c>
      <c r="B53" t="s">
        <v>181</v>
      </c>
      <c r="C53" t="s">
        <v>182</v>
      </c>
      <c r="D53" t="s">
        <v>49</v>
      </c>
      <c r="E53" t="s">
        <v>26</v>
      </c>
      <c r="F53">
        <v>2</v>
      </c>
      <c r="G53">
        <v>1214</v>
      </c>
      <c r="H53">
        <v>2428</v>
      </c>
      <c r="I53" t="s">
        <v>35</v>
      </c>
      <c r="J53" t="s">
        <v>22</v>
      </c>
    </row>
    <row r="54" spans="1:10" x14ac:dyDescent="0.3">
      <c r="A54" t="s">
        <v>183</v>
      </c>
      <c r="B54" t="s">
        <v>184</v>
      </c>
      <c r="C54" t="s">
        <v>185</v>
      </c>
      <c r="D54" t="s">
        <v>13</v>
      </c>
      <c r="E54" t="s">
        <v>60</v>
      </c>
      <c r="F54">
        <v>5</v>
      </c>
      <c r="G54">
        <v>572</v>
      </c>
      <c r="H54">
        <v>2860</v>
      </c>
      <c r="I54" t="s">
        <v>67</v>
      </c>
      <c r="J54" t="s">
        <v>16</v>
      </c>
    </row>
    <row r="55" spans="1:10" x14ac:dyDescent="0.3">
      <c r="A55" t="s">
        <v>186</v>
      </c>
      <c r="B55" t="s">
        <v>187</v>
      </c>
      <c r="C55" t="s">
        <v>188</v>
      </c>
      <c r="D55" t="s">
        <v>13</v>
      </c>
      <c r="E55" t="s">
        <v>26</v>
      </c>
      <c r="F55">
        <v>5</v>
      </c>
      <c r="G55">
        <v>275</v>
      </c>
      <c r="H55">
        <v>1375</v>
      </c>
      <c r="I55" t="s">
        <v>53</v>
      </c>
      <c r="J55" t="s">
        <v>22</v>
      </c>
    </row>
    <row r="56" spans="1:10" x14ac:dyDescent="0.3">
      <c r="A56" t="s">
        <v>189</v>
      </c>
      <c r="B56" t="s">
        <v>190</v>
      </c>
      <c r="C56" t="s">
        <v>191</v>
      </c>
      <c r="D56" t="s">
        <v>20</v>
      </c>
      <c r="E56" t="s">
        <v>86</v>
      </c>
      <c r="F56">
        <v>3</v>
      </c>
      <c r="G56">
        <v>1329</v>
      </c>
      <c r="H56">
        <v>3987</v>
      </c>
      <c r="I56" t="s">
        <v>35</v>
      </c>
      <c r="J56" t="s">
        <v>22</v>
      </c>
    </row>
    <row r="57" spans="1:10" x14ac:dyDescent="0.3">
      <c r="A57" t="s">
        <v>192</v>
      </c>
      <c r="B57" t="s">
        <v>29</v>
      </c>
      <c r="C57" t="s">
        <v>193</v>
      </c>
      <c r="D57" t="s">
        <v>49</v>
      </c>
      <c r="E57" t="s">
        <v>26</v>
      </c>
      <c r="F57">
        <v>4</v>
      </c>
      <c r="G57">
        <v>1586</v>
      </c>
      <c r="H57">
        <v>6344</v>
      </c>
      <c r="I57" t="s">
        <v>35</v>
      </c>
      <c r="J57" t="s">
        <v>27</v>
      </c>
    </row>
    <row r="58" spans="1:10" x14ac:dyDescent="0.3">
      <c r="A58" t="s">
        <v>194</v>
      </c>
      <c r="B58" t="s">
        <v>195</v>
      </c>
      <c r="C58" t="s">
        <v>196</v>
      </c>
      <c r="D58" t="s">
        <v>49</v>
      </c>
      <c r="E58" t="s">
        <v>14</v>
      </c>
      <c r="F58">
        <v>6</v>
      </c>
      <c r="G58">
        <v>467</v>
      </c>
      <c r="H58">
        <v>2802</v>
      </c>
      <c r="I58" t="s">
        <v>35</v>
      </c>
      <c r="J58" t="s">
        <v>16</v>
      </c>
    </row>
    <row r="59" spans="1:10" x14ac:dyDescent="0.3">
      <c r="A59" t="s">
        <v>197</v>
      </c>
      <c r="B59" t="s">
        <v>198</v>
      </c>
      <c r="C59" t="s">
        <v>199</v>
      </c>
      <c r="D59" t="s">
        <v>49</v>
      </c>
      <c r="E59" t="s">
        <v>86</v>
      </c>
      <c r="F59">
        <v>5</v>
      </c>
      <c r="G59">
        <v>1113</v>
      </c>
      <c r="H59">
        <v>5565</v>
      </c>
      <c r="I59" t="s">
        <v>15</v>
      </c>
      <c r="J59" t="s">
        <v>40</v>
      </c>
    </row>
    <row r="60" spans="1:10" x14ac:dyDescent="0.3">
      <c r="A60" t="s">
        <v>200</v>
      </c>
      <c r="B60" t="s">
        <v>201</v>
      </c>
      <c r="C60" t="s">
        <v>202</v>
      </c>
      <c r="D60" t="s">
        <v>49</v>
      </c>
      <c r="E60" t="s">
        <v>14</v>
      </c>
      <c r="F60">
        <v>2</v>
      </c>
      <c r="G60">
        <v>1540</v>
      </c>
      <c r="H60">
        <v>3080</v>
      </c>
      <c r="I60" t="s">
        <v>21</v>
      </c>
      <c r="J60" t="s">
        <v>27</v>
      </c>
    </row>
    <row r="61" spans="1:10" x14ac:dyDescent="0.3">
      <c r="A61" t="s">
        <v>203</v>
      </c>
      <c r="B61" t="s">
        <v>204</v>
      </c>
      <c r="C61" t="s">
        <v>205</v>
      </c>
      <c r="D61" t="s">
        <v>20</v>
      </c>
      <c r="E61" t="s">
        <v>26</v>
      </c>
      <c r="F61">
        <v>7</v>
      </c>
      <c r="G61">
        <v>1454</v>
      </c>
      <c r="H61">
        <v>10178</v>
      </c>
      <c r="I61" t="s">
        <v>39</v>
      </c>
      <c r="J61" t="s">
        <v>16</v>
      </c>
    </row>
    <row r="62" spans="1:10" x14ac:dyDescent="0.3">
      <c r="A62" t="s">
        <v>206</v>
      </c>
      <c r="B62" t="s">
        <v>207</v>
      </c>
      <c r="C62" t="s">
        <v>208</v>
      </c>
      <c r="D62" t="s">
        <v>44</v>
      </c>
      <c r="E62" t="s">
        <v>45</v>
      </c>
      <c r="F62">
        <v>4</v>
      </c>
      <c r="G62">
        <v>1433</v>
      </c>
      <c r="H62">
        <v>5732</v>
      </c>
      <c r="I62" t="s">
        <v>15</v>
      </c>
      <c r="J62" t="s">
        <v>40</v>
      </c>
    </row>
    <row r="63" spans="1:10" x14ac:dyDescent="0.3">
      <c r="A63" t="s">
        <v>209</v>
      </c>
      <c r="B63" t="s">
        <v>210</v>
      </c>
      <c r="C63" t="s">
        <v>211</v>
      </c>
      <c r="D63" t="s">
        <v>49</v>
      </c>
      <c r="E63" t="s">
        <v>45</v>
      </c>
      <c r="F63">
        <v>9</v>
      </c>
      <c r="G63">
        <v>1993</v>
      </c>
      <c r="H63">
        <v>17937</v>
      </c>
      <c r="I63" t="s">
        <v>21</v>
      </c>
      <c r="J63" t="s">
        <v>40</v>
      </c>
    </row>
    <row r="64" spans="1:10" x14ac:dyDescent="0.3">
      <c r="A64" t="s">
        <v>212</v>
      </c>
      <c r="B64" t="s">
        <v>213</v>
      </c>
      <c r="C64" t="s">
        <v>214</v>
      </c>
      <c r="D64" t="s">
        <v>44</v>
      </c>
      <c r="E64" t="s">
        <v>45</v>
      </c>
      <c r="F64">
        <v>7</v>
      </c>
      <c r="G64">
        <v>299</v>
      </c>
      <c r="H64">
        <v>2093</v>
      </c>
      <c r="I64" t="s">
        <v>53</v>
      </c>
      <c r="J64" t="s">
        <v>16</v>
      </c>
    </row>
    <row r="65" spans="1:10" x14ac:dyDescent="0.3">
      <c r="A65" t="s">
        <v>215</v>
      </c>
      <c r="B65" t="s">
        <v>216</v>
      </c>
      <c r="C65" t="s">
        <v>217</v>
      </c>
      <c r="D65" t="s">
        <v>49</v>
      </c>
      <c r="E65" t="s">
        <v>26</v>
      </c>
      <c r="F65">
        <v>2</v>
      </c>
      <c r="G65">
        <v>1354</v>
      </c>
      <c r="H65">
        <v>2708</v>
      </c>
      <c r="I65" t="s">
        <v>39</v>
      </c>
      <c r="J65" t="s">
        <v>27</v>
      </c>
    </row>
    <row r="66" spans="1:10" x14ac:dyDescent="0.3">
      <c r="A66" t="s">
        <v>218</v>
      </c>
      <c r="B66" t="s">
        <v>219</v>
      </c>
      <c r="C66" t="s">
        <v>220</v>
      </c>
      <c r="D66" t="s">
        <v>20</v>
      </c>
      <c r="E66" t="s">
        <v>45</v>
      </c>
      <c r="F66">
        <v>5</v>
      </c>
      <c r="G66">
        <v>1228</v>
      </c>
      <c r="H66">
        <v>6140</v>
      </c>
      <c r="I66" t="s">
        <v>21</v>
      </c>
      <c r="J66" t="s">
        <v>16</v>
      </c>
    </row>
    <row r="67" spans="1:10" x14ac:dyDescent="0.3">
      <c r="A67" t="s">
        <v>221</v>
      </c>
      <c r="B67" t="s">
        <v>222</v>
      </c>
      <c r="C67" t="s">
        <v>223</v>
      </c>
      <c r="D67" t="s">
        <v>44</v>
      </c>
      <c r="E67" t="s">
        <v>45</v>
      </c>
      <c r="F67">
        <v>3</v>
      </c>
      <c r="G67">
        <v>1616</v>
      </c>
      <c r="H67">
        <v>4848</v>
      </c>
      <c r="I67" t="s">
        <v>53</v>
      </c>
      <c r="J67" t="s">
        <v>40</v>
      </c>
    </row>
    <row r="68" spans="1:10" x14ac:dyDescent="0.3">
      <c r="A68" t="s">
        <v>224</v>
      </c>
      <c r="B68" t="s">
        <v>225</v>
      </c>
      <c r="C68" t="s">
        <v>226</v>
      </c>
      <c r="D68" t="s">
        <v>44</v>
      </c>
      <c r="E68" t="s">
        <v>31</v>
      </c>
      <c r="F68">
        <v>2</v>
      </c>
      <c r="G68">
        <v>952</v>
      </c>
      <c r="H68">
        <v>1904</v>
      </c>
      <c r="I68" t="s">
        <v>21</v>
      </c>
      <c r="J68" t="s">
        <v>27</v>
      </c>
    </row>
    <row r="69" spans="1:10" x14ac:dyDescent="0.3">
      <c r="A69" t="s">
        <v>227</v>
      </c>
      <c r="B69" t="s">
        <v>228</v>
      </c>
      <c r="C69" t="s">
        <v>229</v>
      </c>
      <c r="D69" t="s">
        <v>44</v>
      </c>
      <c r="E69" t="s">
        <v>26</v>
      </c>
      <c r="F69">
        <v>10</v>
      </c>
      <c r="G69">
        <v>447</v>
      </c>
      <c r="H69">
        <v>4470</v>
      </c>
      <c r="I69" t="s">
        <v>67</v>
      </c>
      <c r="J69" t="s">
        <v>27</v>
      </c>
    </row>
    <row r="70" spans="1:10" x14ac:dyDescent="0.3">
      <c r="A70" t="s">
        <v>230</v>
      </c>
      <c r="B70" t="s">
        <v>231</v>
      </c>
      <c r="C70" t="s">
        <v>232</v>
      </c>
      <c r="D70" t="s">
        <v>44</v>
      </c>
      <c r="E70" t="s">
        <v>86</v>
      </c>
      <c r="F70">
        <v>7</v>
      </c>
      <c r="G70">
        <v>412</v>
      </c>
      <c r="H70">
        <v>2884</v>
      </c>
      <c r="I70" t="s">
        <v>39</v>
      </c>
      <c r="J70" t="s">
        <v>40</v>
      </c>
    </row>
    <row r="71" spans="1:10" x14ac:dyDescent="0.3">
      <c r="A71" t="s">
        <v>233</v>
      </c>
      <c r="B71" t="s">
        <v>234</v>
      </c>
      <c r="C71" t="s">
        <v>235</v>
      </c>
      <c r="D71" t="s">
        <v>20</v>
      </c>
      <c r="E71" t="s">
        <v>26</v>
      </c>
      <c r="F71">
        <v>6</v>
      </c>
      <c r="G71">
        <v>1276</v>
      </c>
      <c r="H71">
        <v>7656</v>
      </c>
      <c r="I71" t="s">
        <v>53</v>
      </c>
      <c r="J71" t="s">
        <v>22</v>
      </c>
    </row>
    <row r="72" spans="1:10" x14ac:dyDescent="0.3">
      <c r="A72" t="s">
        <v>236</v>
      </c>
      <c r="B72" t="s">
        <v>237</v>
      </c>
      <c r="C72" t="s">
        <v>238</v>
      </c>
      <c r="D72" t="s">
        <v>44</v>
      </c>
      <c r="E72" t="s">
        <v>60</v>
      </c>
      <c r="F72">
        <v>9</v>
      </c>
      <c r="G72">
        <v>1100</v>
      </c>
      <c r="H72">
        <v>9900</v>
      </c>
      <c r="I72" t="s">
        <v>39</v>
      </c>
      <c r="J72" t="s">
        <v>22</v>
      </c>
    </row>
    <row r="73" spans="1:10" x14ac:dyDescent="0.3">
      <c r="A73" t="s">
        <v>239</v>
      </c>
      <c r="B73" t="s">
        <v>240</v>
      </c>
      <c r="C73" t="s">
        <v>241</v>
      </c>
      <c r="D73" t="s">
        <v>13</v>
      </c>
      <c r="E73" t="s">
        <v>60</v>
      </c>
      <c r="F73">
        <v>2</v>
      </c>
      <c r="G73">
        <v>1810</v>
      </c>
      <c r="H73">
        <v>3620</v>
      </c>
      <c r="I73" t="s">
        <v>35</v>
      </c>
      <c r="J73" t="s">
        <v>27</v>
      </c>
    </row>
    <row r="74" spans="1:10" x14ac:dyDescent="0.3">
      <c r="A74" t="s">
        <v>242</v>
      </c>
      <c r="B74" t="s">
        <v>243</v>
      </c>
      <c r="C74" t="s">
        <v>244</v>
      </c>
      <c r="D74" t="s">
        <v>44</v>
      </c>
      <c r="E74" t="s">
        <v>86</v>
      </c>
      <c r="F74">
        <v>8</v>
      </c>
      <c r="G74">
        <v>678</v>
      </c>
      <c r="H74">
        <v>5424</v>
      </c>
      <c r="I74" t="s">
        <v>53</v>
      </c>
      <c r="J74" t="s">
        <v>27</v>
      </c>
    </row>
    <row r="75" spans="1:10" x14ac:dyDescent="0.3">
      <c r="A75" t="s">
        <v>245</v>
      </c>
      <c r="B75" t="s">
        <v>246</v>
      </c>
      <c r="C75" t="s">
        <v>247</v>
      </c>
      <c r="D75" t="s">
        <v>44</v>
      </c>
      <c r="E75" t="s">
        <v>14</v>
      </c>
      <c r="F75">
        <v>8</v>
      </c>
      <c r="G75">
        <v>183</v>
      </c>
      <c r="H75">
        <v>1464</v>
      </c>
      <c r="I75" t="s">
        <v>15</v>
      </c>
      <c r="J75" t="s">
        <v>16</v>
      </c>
    </row>
    <row r="76" spans="1:10" x14ac:dyDescent="0.3">
      <c r="A76" t="s">
        <v>248</v>
      </c>
      <c r="B76" t="s">
        <v>249</v>
      </c>
      <c r="C76" t="s">
        <v>250</v>
      </c>
      <c r="D76" t="s">
        <v>49</v>
      </c>
      <c r="E76" t="s">
        <v>26</v>
      </c>
      <c r="F76">
        <v>9</v>
      </c>
      <c r="G76">
        <v>433</v>
      </c>
      <c r="H76">
        <v>3897</v>
      </c>
      <c r="I76" t="s">
        <v>21</v>
      </c>
      <c r="J76" t="s">
        <v>40</v>
      </c>
    </row>
    <row r="77" spans="1:10" x14ac:dyDescent="0.3">
      <c r="A77" t="s">
        <v>251</v>
      </c>
      <c r="B77" t="s">
        <v>252</v>
      </c>
      <c r="C77" t="s">
        <v>253</v>
      </c>
      <c r="D77" t="s">
        <v>13</v>
      </c>
      <c r="E77" t="s">
        <v>14</v>
      </c>
      <c r="F77">
        <v>6</v>
      </c>
      <c r="G77">
        <v>1799</v>
      </c>
      <c r="H77">
        <v>10794</v>
      </c>
      <c r="I77" t="s">
        <v>67</v>
      </c>
      <c r="J77" t="s">
        <v>22</v>
      </c>
    </row>
    <row r="78" spans="1:10" x14ac:dyDescent="0.3">
      <c r="A78" t="s">
        <v>254</v>
      </c>
      <c r="B78" t="s">
        <v>255</v>
      </c>
      <c r="C78" t="s">
        <v>256</v>
      </c>
      <c r="D78" t="s">
        <v>20</v>
      </c>
      <c r="E78" t="s">
        <v>31</v>
      </c>
      <c r="F78">
        <v>6</v>
      </c>
      <c r="G78">
        <v>266</v>
      </c>
      <c r="H78">
        <v>1596</v>
      </c>
      <c r="I78" t="s">
        <v>67</v>
      </c>
      <c r="J78" t="s">
        <v>22</v>
      </c>
    </row>
    <row r="79" spans="1:10" x14ac:dyDescent="0.3">
      <c r="A79" t="s">
        <v>257</v>
      </c>
      <c r="B79" t="s">
        <v>249</v>
      </c>
      <c r="C79" t="s">
        <v>258</v>
      </c>
      <c r="D79" t="s">
        <v>13</v>
      </c>
      <c r="E79" t="s">
        <v>86</v>
      </c>
      <c r="F79">
        <v>6</v>
      </c>
      <c r="G79">
        <v>1703</v>
      </c>
      <c r="H79">
        <v>10218</v>
      </c>
      <c r="I79" t="s">
        <v>21</v>
      </c>
      <c r="J79" t="s">
        <v>22</v>
      </c>
    </row>
    <row r="80" spans="1:10" x14ac:dyDescent="0.3">
      <c r="A80" t="s">
        <v>259</v>
      </c>
      <c r="B80" t="s">
        <v>260</v>
      </c>
      <c r="C80" t="s">
        <v>261</v>
      </c>
      <c r="D80" t="s">
        <v>13</v>
      </c>
      <c r="E80" t="s">
        <v>86</v>
      </c>
      <c r="F80">
        <v>7</v>
      </c>
      <c r="G80">
        <v>511</v>
      </c>
      <c r="H80">
        <v>3577</v>
      </c>
      <c r="I80" t="s">
        <v>67</v>
      </c>
      <c r="J80" t="s">
        <v>40</v>
      </c>
    </row>
    <row r="81" spans="1:10" x14ac:dyDescent="0.3">
      <c r="A81" t="s">
        <v>262</v>
      </c>
      <c r="B81" t="s">
        <v>263</v>
      </c>
      <c r="C81" t="s">
        <v>264</v>
      </c>
      <c r="D81" t="s">
        <v>13</v>
      </c>
      <c r="E81" t="s">
        <v>86</v>
      </c>
      <c r="F81">
        <v>2</v>
      </c>
      <c r="G81">
        <v>382</v>
      </c>
      <c r="H81">
        <v>764</v>
      </c>
      <c r="I81" t="s">
        <v>15</v>
      </c>
      <c r="J81" t="s">
        <v>40</v>
      </c>
    </row>
    <row r="82" spans="1:10" x14ac:dyDescent="0.3">
      <c r="A82" t="s">
        <v>265</v>
      </c>
      <c r="B82" t="s">
        <v>266</v>
      </c>
      <c r="C82" t="s">
        <v>267</v>
      </c>
      <c r="D82" t="s">
        <v>49</v>
      </c>
      <c r="E82" t="s">
        <v>45</v>
      </c>
      <c r="F82">
        <v>1</v>
      </c>
      <c r="G82">
        <v>475</v>
      </c>
      <c r="H82">
        <v>475</v>
      </c>
      <c r="I82" t="s">
        <v>67</v>
      </c>
      <c r="J82" t="s">
        <v>40</v>
      </c>
    </row>
    <row r="83" spans="1:10" x14ac:dyDescent="0.3">
      <c r="A83" t="s">
        <v>268</v>
      </c>
      <c r="B83" t="s">
        <v>269</v>
      </c>
      <c r="C83" t="s">
        <v>270</v>
      </c>
      <c r="D83" t="s">
        <v>13</v>
      </c>
      <c r="E83" t="s">
        <v>60</v>
      </c>
      <c r="F83">
        <v>10</v>
      </c>
      <c r="G83">
        <v>1023</v>
      </c>
      <c r="H83">
        <v>10230</v>
      </c>
      <c r="I83" t="s">
        <v>67</v>
      </c>
      <c r="J83" t="s">
        <v>16</v>
      </c>
    </row>
    <row r="84" spans="1:10" x14ac:dyDescent="0.3">
      <c r="A84" t="s">
        <v>271</v>
      </c>
      <c r="B84" t="s">
        <v>272</v>
      </c>
      <c r="C84" t="s">
        <v>273</v>
      </c>
      <c r="D84" t="s">
        <v>49</v>
      </c>
      <c r="E84" t="s">
        <v>26</v>
      </c>
      <c r="F84">
        <v>1</v>
      </c>
      <c r="G84">
        <v>1993</v>
      </c>
      <c r="H84">
        <v>1993</v>
      </c>
      <c r="I84" t="s">
        <v>35</v>
      </c>
      <c r="J84" t="s">
        <v>22</v>
      </c>
    </row>
    <row r="85" spans="1:10" x14ac:dyDescent="0.3">
      <c r="A85" t="s">
        <v>274</v>
      </c>
      <c r="B85" t="s">
        <v>187</v>
      </c>
      <c r="C85" t="s">
        <v>275</v>
      </c>
      <c r="D85" t="s">
        <v>20</v>
      </c>
      <c r="E85" t="s">
        <v>60</v>
      </c>
      <c r="F85">
        <v>7</v>
      </c>
      <c r="G85">
        <v>407</v>
      </c>
      <c r="H85">
        <v>2849</v>
      </c>
      <c r="I85" t="s">
        <v>39</v>
      </c>
      <c r="J85" t="s">
        <v>27</v>
      </c>
    </row>
    <row r="86" spans="1:10" x14ac:dyDescent="0.3">
      <c r="A86" t="s">
        <v>276</v>
      </c>
      <c r="B86" t="s">
        <v>277</v>
      </c>
      <c r="C86" t="s">
        <v>278</v>
      </c>
      <c r="D86" t="s">
        <v>44</v>
      </c>
      <c r="E86" t="s">
        <v>31</v>
      </c>
      <c r="F86">
        <v>7</v>
      </c>
      <c r="G86">
        <v>257</v>
      </c>
      <c r="H86">
        <v>1799</v>
      </c>
      <c r="I86" t="s">
        <v>35</v>
      </c>
      <c r="J86" t="s">
        <v>27</v>
      </c>
    </row>
    <row r="87" spans="1:10" x14ac:dyDescent="0.3">
      <c r="A87" t="s">
        <v>279</v>
      </c>
      <c r="B87" t="s">
        <v>280</v>
      </c>
      <c r="C87" t="s">
        <v>281</v>
      </c>
      <c r="D87" t="s">
        <v>13</v>
      </c>
      <c r="E87" t="s">
        <v>86</v>
      </c>
      <c r="F87">
        <v>10</v>
      </c>
      <c r="G87">
        <v>286</v>
      </c>
      <c r="H87">
        <v>2860</v>
      </c>
      <c r="I87" t="s">
        <v>21</v>
      </c>
      <c r="J87" t="s">
        <v>27</v>
      </c>
    </row>
    <row r="88" spans="1:10" x14ac:dyDescent="0.3">
      <c r="A88" t="s">
        <v>282</v>
      </c>
      <c r="B88" t="s">
        <v>283</v>
      </c>
      <c r="C88" t="s">
        <v>284</v>
      </c>
      <c r="D88" t="s">
        <v>44</v>
      </c>
      <c r="E88" t="s">
        <v>26</v>
      </c>
      <c r="F88">
        <v>1</v>
      </c>
      <c r="G88">
        <v>1765</v>
      </c>
      <c r="H88">
        <v>1765</v>
      </c>
      <c r="I88" t="s">
        <v>39</v>
      </c>
      <c r="J88" t="s">
        <v>40</v>
      </c>
    </row>
    <row r="89" spans="1:10" x14ac:dyDescent="0.3">
      <c r="A89" t="s">
        <v>285</v>
      </c>
      <c r="B89" t="s">
        <v>286</v>
      </c>
      <c r="C89" t="s">
        <v>287</v>
      </c>
      <c r="D89" t="s">
        <v>44</v>
      </c>
      <c r="E89" t="s">
        <v>45</v>
      </c>
      <c r="F89">
        <v>6</v>
      </c>
      <c r="G89">
        <v>1964</v>
      </c>
      <c r="H89">
        <v>11784</v>
      </c>
      <c r="I89" t="s">
        <v>67</v>
      </c>
      <c r="J89" t="s">
        <v>27</v>
      </c>
    </row>
    <row r="90" spans="1:10" x14ac:dyDescent="0.3">
      <c r="A90" t="s">
        <v>288</v>
      </c>
      <c r="B90" t="s">
        <v>289</v>
      </c>
      <c r="C90" t="s">
        <v>290</v>
      </c>
      <c r="D90" t="s">
        <v>49</v>
      </c>
      <c r="E90" t="s">
        <v>86</v>
      </c>
      <c r="F90">
        <v>4</v>
      </c>
      <c r="G90">
        <v>1628</v>
      </c>
      <c r="H90">
        <v>6512</v>
      </c>
      <c r="I90" t="s">
        <v>35</v>
      </c>
      <c r="J90" t="s">
        <v>22</v>
      </c>
    </row>
    <row r="91" spans="1:10" x14ac:dyDescent="0.3">
      <c r="A91" t="s">
        <v>291</v>
      </c>
      <c r="B91" t="s">
        <v>33</v>
      </c>
      <c r="C91" t="s">
        <v>292</v>
      </c>
      <c r="D91" t="s">
        <v>49</v>
      </c>
      <c r="E91" t="s">
        <v>14</v>
      </c>
      <c r="F91">
        <v>5</v>
      </c>
      <c r="G91">
        <v>1526</v>
      </c>
      <c r="H91">
        <v>7630</v>
      </c>
      <c r="I91" t="s">
        <v>67</v>
      </c>
      <c r="J91" t="s">
        <v>16</v>
      </c>
    </row>
    <row r="92" spans="1:10" x14ac:dyDescent="0.3">
      <c r="A92" t="s">
        <v>293</v>
      </c>
      <c r="B92" t="s">
        <v>294</v>
      </c>
      <c r="C92" t="s">
        <v>295</v>
      </c>
      <c r="D92" t="s">
        <v>20</v>
      </c>
      <c r="E92" t="s">
        <v>60</v>
      </c>
      <c r="F92">
        <v>4</v>
      </c>
      <c r="G92">
        <v>1236</v>
      </c>
      <c r="H92">
        <v>4944</v>
      </c>
      <c r="I92" t="s">
        <v>21</v>
      </c>
      <c r="J92" t="s">
        <v>16</v>
      </c>
    </row>
    <row r="93" spans="1:10" x14ac:dyDescent="0.3">
      <c r="A93" t="s">
        <v>296</v>
      </c>
      <c r="B93" t="s">
        <v>297</v>
      </c>
      <c r="C93" t="s">
        <v>298</v>
      </c>
      <c r="D93" t="s">
        <v>49</v>
      </c>
      <c r="E93" t="s">
        <v>14</v>
      </c>
      <c r="F93">
        <v>7</v>
      </c>
      <c r="G93">
        <v>847</v>
      </c>
      <c r="H93">
        <v>5929</v>
      </c>
      <c r="I93" t="s">
        <v>53</v>
      </c>
      <c r="J93" t="s">
        <v>16</v>
      </c>
    </row>
    <row r="94" spans="1:10" x14ac:dyDescent="0.3">
      <c r="A94" t="s">
        <v>299</v>
      </c>
      <c r="B94" t="s">
        <v>277</v>
      </c>
      <c r="C94" t="s">
        <v>300</v>
      </c>
      <c r="D94" t="s">
        <v>44</v>
      </c>
      <c r="E94" t="s">
        <v>60</v>
      </c>
      <c r="F94">
        <v>1</v>
      </c>
      <c r="G94">
        <v>273</v>
      </c>
      <c r="H94">
        <v>273</v>
      </c>
      <c r="I94" t="s">
        <v>35</v>
      </c>
      <c r="J94" t="s">
        <v>16</v>
      </c>
    </row>
    <row r="95" spans="1:10" x14ac:dyDescent="0.3">
      <c r="A95" t="s">
        <v>301</v>
      </c>
      <c r="B95" t="s">
        <v>302</v>
      </c>
      <c r="C95" t="s">
        <v>303</v>
      </c>
      <c r="D95" t="s">
        <v>20</v>
      </c>
      <c r="E95" t="s">
        <v>26</v>
      </c>
      <c r="F95">
        <v>3</v>
      </c>
      <c r="G95">
        <v>1037</v>
      </c>
      <c r="H95">
        <v>3111</v>
      </c>
      <c r="I95" t="s">
        <v>21</v>
      </c>
      <c r="J95" t="s">
        <v>22</v>
      </c>
    </row>
    <row r="96" spans="1:10" x14ac:dyDescent="0.3">
      <c r="A96" t="s">
        <v>304</v>
      </c>
      <c r="B96" t="s">
        <v>305</v>
      </c>
      <c r="C96" t="s">
        <v>306</v>
      </c>
      <c r="D96" t="s">
        <v>20</v>
      </c>
      <c r="E96" t="s">
        <v>31</v>
      </c>
      <c r="F96">
        <v>8</v>
      </c>
      <c r="G96">
        <v>1202</v>
      </c>
      <c r="H96">
        <v>9616</v>
      </c>
      <c r="I96" t="s">
        <v>67</v>
      </c>
      <c r="J96" t="s">
        <v>16</v>
      </c>
    </row>
    <row r="97" spans="1:10" x14ac:dyDescent="0.3">
      <c r="A97" t="s">
        <v>307</v>
      </c>
      <c r="B97" t="s">
        <v>308</v>
      </c>
      <c r="C97" t="s">
        <v>309</v>
      </c>
      <c r="D97" t="s">
        <v>44</v>
      </c>
      <c r="E97" t="s">
        <v>60</v>
      </c>
      <c r="F97">
        <v>8</v>
      </c>
      <c r="G97">
        <v>1361</v>
      </c>
      <c r="H97">
        <v>10888</v>
      </c>
      <c r="I97" t="s">
        <v>53</v>
      </c>
      <c r="J97" t="s">
        <v>16</v>
      </c>
    </row>
    <row r="98" spans="1:10" x14ac:dyDescent="0.3">
      <c r="A98" t="s">
        <v>310</v>
      </c>
      <c r="B98" t="s">
        <v>311</v>
      </c>
      <c r="C98" t="s">
        <v>312</v>
      </c>
      <c r="D98" t="s">
        <v>44</v>
      </c>
      <c r="E98" t="s">
        <v>26</v>
      </c>
      <c r="F98">
        <v>7</v>
      </c>
      <c r="G98">
        <v>251</v>
      </c>
      <c r="H98">
        <v>1757</v>
      </c>
      <c r="I98" t="s">
        <v>15</v>
      </c>
      <c r="J98" t="s">
        <v>40</v>
      </c>
    </row>
    <row r="99" spans="1:10" x14ac:dyDescent="0.3">
      <c r="A99" t="s">
        <v>313</v>
      </c>
      <c r="B99" t="s">
        <v>314</v>
      </c>
      <c r="C99" t="s">
        <v>315</v>
      </c>
      <c r="D99" t="s">
        <v>49</v>
      </c>
      <c r="E99" t="s">
        <v>86</v>
      </c>
      <c r="F99">
        <v>1</v>
      </c>
      <c r="G99">
        <v>1131</v>
      </c>
      <c r="H99">
        <v>1131</v>
      </c>
      <c r="I99" t="s">
        <v>15</v>
      </c>
      <c r="J99" t="s">
        <v>40</v>
      </c>
    </row>
    <row r="100" spans="1:10" x14ac:dyDescent="0.3">
      <c r="A100" t="s">
        <v>316</v>
      </c>
      <c r="B100" t="s">
        <v>317</v>
      </c>
      <c r="C100" t="s">
        <v>318</v>
      </c>
      <c r="D100" t="s">
        <v>49</v>
      </c>
      <c r="E100" t="s">
        <v>14</v>
      </c>
      <c r="F100">
        <v>6</v>
      </c>
      <c r="G100">
        <v>776</v>
      </c>
      <c r="H100">
        <v>4656</v>
      </c>
      <c r="I100" t="s">
        <v>53</v>
      </c>
      <c r="J100" t="s">
        <v>16</v>
      </c>
    </row>
    <row r="101" spans="1:10" x14ac:dyDescent="0.3">
      <c r="A101" t="s">
        <v>319</v>
      </c>
      <c r="B101" t="s">
        <v>320</v>
      </c>
      <c r="C101" t="s">
        <v>321</v>
      </c>
      <c r="D101" t="s">
        <v>13</v>
      </c>
      <c r="E101" t="s">
        <v>14</v>
      </c>
      <c r="F101">
        <v>2</v>
      </c>
      <c r="G101">
        <v>681</v>
      </c>
      <c r="H101">
        <v>1362</v>
      </c>
      <c r="I101" t="s">
        <v>67</v>
      </c>
      <c r="J101" t="s">
        <v>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Aggregate Functions</vt:lpstr>
      <vt:lpstr>String Functions</vt:lpstr>
      <vt:lpstr>PIVOT</vt:lpstr>
      <vt:lpstr>Data Validation</vt:lpstr>
      <vt:lpstr>Chart</vt:lpstr>
      <vt:lpstr>VLOOKUP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Kishore Vinay</dc:creator>
  <cp:lastModifiedBy>Kishore Vinay</cp:lastModifiedBy>
  <dcterms:created xsi:type="dcterms:W3CDTF">2026-05-11T05:59:13Z</dcterms:created>
  <dcterms:modified xsi:type="dcterms:W3CDTF">2026-05-12T05:24:50Z</dcterms:modified>
</cp:coreProperties>
</file>